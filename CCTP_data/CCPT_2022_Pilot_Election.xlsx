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6e2ebc37c74aa84/Desktop/Stats 305C/realtimeElectionForecasting/CCTP_data/"/>
    </mc:Choice>
  </mc:AlternateContent>
  <xr:revisionPtr revIDLastSave="3" documentId="11_70A0C2B00DC2D7DB9CE4059756D991E56F7D3D59" xr6:coauthVersionLast="47" xr6:coauthVersionMax="47" xr10:uidLastSave="{27E4AF8F-EBFC-4576-B1DE-E6BD4E703A02}"/>
  <bookViews>
    <workbookView xWindow="-98" yWindow="-98" windowWidth="19396" windowHeight="11475" xr2:uid="{00000000-000D-0000-FFFF-FFFF00000000}"/>
  </bookViews>
  <sheets>
    <sheet name="CD-3" sheetId="1" r:id="rId1"/>
    <sheet name="CD-13" sheetId="2" r:id="rId2"/>
    <sheet name="CD-22" sheetId="3" r:id="rId3"/>
    <sheet name="CD-27" sheetId="4" r:id="rId4"/>
    <sheet name="CD-34" sheetId="5" r:id="rId5"/>
    <sheet name="CD-41" sheetId="6" r:id="rId6"/>
    <sheet name="CD-45" sheetId="7" r:id="rId7"/>
    <sheet name="CD-47" sheetId="8" r:id="rId8"/>
    <sheet name="CD-49" sheetId="9" r:id="rId9"/>
    <sheet name="SD-08" sheetId="10" r:id="rId10"/>
    <sheet name="SD-16" sheetId="11" r:id="rId11"/>
    <sheet name="AD-7" sheetId="12" r:id="rId12"/>
    <sheet name="AD-40" sheetId="13" r:id="rId13"/>
    <sheet name="AD-47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vPf3NOaXcuCyf6F2g/P7TLNodv8WXe5uCnvek+WTMMU="/>
    </ext>
  </extLst>
</workbook>
</file>

<file path=xl/calcChain.xml><?xml version="1.0" encoding="utf-8"?>
<calcChain xmlns="http://schemas.openxmlformats.org/spreadsheetml/2006/main">
  <c r="X6" i="14" l="1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X5" i="14"/>
  <c r="V5" i="14"/>
  <c r="U5" i="14"/>
  <c r="R5" i="14"/>
  <c r="P5" i="14"/>
  <c r="K5" i="14"/>
  <c r="J5" i="14"/>
  <c r="I5" i="14"/>
  <c r="H5" i="14"/>
  <c r="F5" i="14"/>
  <c r="E5" i="14"/>
  <c r="B5" i="14"/>
  <c r="X4" i="14"/>
  <c r="W4" i="14"/>
  <c r="W5" i="14" s="1"/>
  <c r="V4" i="14"/>
  <c r="U4" i="14"/>
  <c r="T4" i="14"/>
  <c r="T5" i="14" s="1"/>
  <c r="S4" i="14"/>
  <c r="S5" i="14" s="1"/>
  <c r="R4" i="14"/>
  <c r="Q4" i="14"/>
  <c r="Q5" i="14" s="1"/>
  <c r="P4" i="14"/>
  <c r="O4" i="14"/>
  <c r="O5" i="14" s="1"/>
  <c r="N4" i="14"/>
  <c r="N5" i="14" s="1"/>
  <c r="M4" i="14"/>
  <c r="M5" i="14" s="1"/>
  <c r="L4" i="14"/>
  <c r="L5" i="14" s="1"/>
  <c r="K4" i="14"/>
  <c r="J4" i="14"/>
  <c r="I4" i="14"/>
  <c r="H4" i="14"/>
  <c r="G4" i="14"/>
  <c r="G5" i="14" s="1"/>
  <c r="F4" i="14"/>
  <c r="E4" i="14"/>
  <c r="D4" i="14"/>
  <c r="D5" i="14" s="1"/>
  <c r="C4" i="14"/>
  <c r="C5" i="14" s="1"/>
  <c r="B4" i="14"/>
  <c r="T5" i="13"/>
  <c r="S5" i="13"/>
  <c r="R5" i="13"/>
  <c r="Q5" i="13"/>
  <c r="P5" i="13"/>
  <c r="N5" i="13"/>
  <c r="M5" i="13"/>
  <c r="L5" i="13"/>
  <c r="K5" i="13"/>
  <c r="D5" i="13"/>
  <c r="C5" i="13"/>
  <c r="B5" i="13"/>
  <c r="U4" i="13"/>
  <c r="U5" i="13" s="1"/>
  <c r="T4" i="13"/>
  <c r="S4" i="13"/>
  <c r="R4" i="13"/>
  <c r="Q4" i="13"/>
  <c r="P4" i="13"/>
  <c r="O4" i="13"/>
  <c r="O5" i="13" s="1"/>
  <c r="N4" i="13"/>
  <c r="M4" i="13"/>
  <c r="L4" i="13"/>
  <c r="K4" i="13"/>
  <c r="J4" i="13"/>
  <c r="J5" i="13" s="1"/>
  <c r="I4" i="13"/>
  <c r="I5" i="13" s="1"/>
  <c r="H4" i="13"/>
  <c r="H5" i="13" s="1"/>
  <c r="G4" i="13"/>
  <c r="G5" i="13" s="1"/>
  <c r="F4" i="13"/>
  <c r="F5" i="13" s="1"/>
  <c r="E4" i="13"/>
  <c r="E5" i="13" s="1"/>
  <c r="D4" i="13"/>
  <c r="C4" i="13"/>
  <c r="B4" i="13"/>
  <c r="W5" i="12"/>
  <c r="U5" i="12"/>
  <c r="O5" i="12"/>
  <c r="N5" i="12"/>
  <c r="M5" i="12"/>
  <c r="L5" i="12"/>
  <c r="K5" i="12"/>
  <c r="J5" i="12"/>
  <c r="H5" i="12"/>
  <c r="G5" i="12"/>
  <c r="E5" i="12"/>
  <c r="W4" i="12"/>
  <c r="V4" i="12"/>
  <c r="V5" i="12" s="1"/>
  <c r="U4" i="12"/>
  <c r="T4" i="12"/>
  <c r="T5" i="12" s="1"/>
  <c r="S4" i="12"/>
  <c r="S5" i="12" s="1"/>
  <c r="R4" i="12"/>
  <c r="R5" i="12" s="1"/>
  <c r="Q4" i="12"/>
  <c r="Q5" i="12" s="1"/>
  <c r="P4" i="12"/>
  <c r="P5" i="12" s="1"/>
  <c r="O4" i="12"/>
  <c r="N4" i="12"/>
  <c r="M4" i="12"/>
  <c r="L4" i="12"/>
  <c r="K4" i="12"/>
  <c r="J4" i="12"/>
  <c r="I4" i="12"/>
  <c r="I5" i="12" s="1"/>
  <c r="H4" i="12"/>
  <c r="G4" i="12"/>
  <c r="F4" i="12"/>
  <c r="F5" i="12" s="1"/>
  <c r="E4" i="12"/>
  <c r="D4" i="12"/>
  <c r="D5" i="12" s="1"/>
  <c r="C4" i="12"/>
  <c r="C5" i="12" s="1"/>
  <c r="B4" i="12"/>
  <c r="B5" i="12" s="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O5" i="11"/>
  <c r="N5" i="11"/>
  <c r="M5" i="11"/>
  <c r="I5" i="11"/>
  <c r="G5" i="11"/>
  <c r="D5" i="11"/>
  <c r="C5" i="11"/>
  <c r="B5" i="11"/>
  <c r="O4" i="11"/>
  <c r="N4" i="11"/>
  <c r="M4" i="11"/>
  <c r="L4" i="11"/>
  <c r="L5" i="11" s="1"/>
  <c r="K4" i="11"/>
  <c r="K5" i="11" s="1"/>
  <c r="J4" i="11"/>
  <c r="J5" i="11" s="1"/>
  <c r="I4" i="11"/>
  <c r="H4" i="11"/>
  <c r="H5" i="11" s="1"/>
  <c r="G4" i="11"/>
  <c r="F4" i="11"/>
  <c r="F5" i="11" s="1"/>
  <c r="E4" i="11"/>
  <c r="E5" i="11" s="1"/>
  <c r="D4" i="11"/>
  <c r="C4" i="11"/>
  <c r="B4" i="11"/>
  <c r="U5" i="10"/>
  <c r="T5" i="10"/>
  <c r="S5" i="10"/>
  <c r="R5" i="10"/>
  <c r="Q5" i="10"/>
  <c r="P5" i="10"/>
  <c r="N5" i="10"/>
  <c r="M5" i="10"/>
  <c r="K5" i="10"/>
  <c r="E5" i="10"/>
  <c r="D5" i="10"/>
  <c r="C5" i="10"/>
  <c r="B5" i="10"/>
  <c r="W4" i="10"/>
  <c r="W5" i="10" s="1"/>
  <c r="V4" i="10"/>
  <c r="V5" i="10" s="1"/>
  <c r="U4" i="10"/>
  <c r="T4" i="10"/>
  <c r="S4" i="10"/>
  <c r="R4" i="10"/>
  <c r="Q4" i="10"/>
  <c r="P4" i="10"/>
  <c r="O4" i="10"/>
  <c r="O5" i="10" s="1"/>
  <c r="N4" i="10"/>
  <c r="M4" i="10"/>
  <c r="L4" i="10"/>
  <c r="L5" i="10" s="1"/>
  <c r="K4" i="10"/>
  <c r="J4" i="10"/>
  <c r="J5" i="10" s="1"/>
  <c r="I4" i="10"/>
  <c r="I5" i="10" s="1"/>
  <c r="H4" i="10"/>
  <c r="H5" i="10" s="1"/>
  <c r="G4" i="10"/>
  <c r="G5" i="10" s="1"/>
  <c r="F4" i="10"/>
  <c r="F5" i="10" s="1"/>
  <c r="E4" i="10"/>
  <c r="D4" i="10"/>
  <c r="C4" i="10"/>
  <c r="B4" i="10"/>
  <c r="AA6" i="9"/>
  <c r="Z6" i="9"/>
  <c r="Y6" i="9"/>
  <c r="X6" i="9"/>
  <c r="W6" i="9"/>
  <c r="V6" i="9"/>
  <c r="U6" i="9"/>
  <c r="T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AA5" i="9"/>
  <c r="Z5" i="9"/>
  <c r="Y5" i="9"/>
  <c r="X5" i="9"/>
  <c r="W5" i="9"/>
  <c r="P5" i="9"/>
  <c r="M5" i="9"/>
  <c r="K5" i="9"/>
  <c r="J5" i="9"/>
  <c r="I5" i="9"/>
  <c r="H5" i="9"/>
  <c r="G5" i="9"/>
  <c r="AA4" i="9"/>
  <c r="Z4" i="9"/>
  <c r="Y4" i="9"/>
  <c r="X4" i="9"/>
  <c r="W4" i="9"/>
  <c r="V4" i="9"/>
  <c r="V5" i="9" s="1"/>
  <c r="U4" i="9"/>
  <c r="U5" i="9" s="1"/>
  <c r="T4" i="9"/>
  <c r="T5" i="9" s="1"/>
  <c r="S4" i="9"/>
  <c r="S5" i="9" s="1"/>
  <c r="R4" i="9"/>
  <c r="R5" i="9" s="1"/>
  <c r="Q4" i="9"/>
  <c r="Q5" i="9" s="1"/>
  <c r="P4" i="9"/>
  <c r="O4" i="9"/>
  <c r="O5" i="9" s="1"/>
  <c r="N4" i="9"/>
  <c r="N5" i="9" s="1"/>
  <c r="M4" i="9"/>
  <c r="L4" i="9"/>
  <c r="L5" i="9" s="1"/>
  <c r="K4" i="9"/>
  <c r="J4" i="9"/>
  <c r="I4" i="9"/>
  <c r="H4" i="9"/>
  <c r="G4" i="9"/>
  <c r="F4" i="9"/>
  <c r="F5" i="9" s="1"/>
  <c r="E4" i="9"/>
  <c r="E5" i="9" s="1"/>
  <c r="D4" i="9"/>
  <c r="D5" i="9" s="1"/>
  <c r="C4" i="9"/>
  <c r="C5" i="9" s="1"/>
  <c r="B4" i="9"/>
  <c r="B5" i="9" s="1"/>
  <c r="U5" i="8"/>
  <c r="S5" i="8"/>
  <c r="R5" i="8"/>
  <c r="Q5" i="8"/>
  <c r="P5" i="8"/>
  <c r="I5" i="8"/>
  <c r="H5" i="8"/>
  <c r="G5" i="8"/>
  <c r="F5" i="8"/>
  <c r="E5" i="8"/>
  <c r="C5" i="8"/>
  <c r="B5" i="8"/>
  <c r="U4" i="8"/>
  <c r="T4" i="8"/>
  <c r="T5" i="8" s="1"/>
  <c r="S4" i="8"/>
  <c r="R4" i="8"/>
  <c r="Q4" i="8"/>
  <c r="P4" i="8"/>
  <c r="O4" i="8"/>
  <c r="O5" i="8" s="1"/>
  <c r="N4" i="8"/>
  <c r="N5" i="8" s="1"/>
  <c r="M4" i="8"/>
  <c r="M5" i="8" s="1"/>
  <c r="L4" i="8"/>
  <c r="L5" i="8" s="1"/>
  <c r="K4" i="8"/>
  <c r="K5" i="8" s="1"/>
  <c r="J4" i="8"/>
  <c r="J5" i="8" s="1"/>
  <c r="I4" i="8"/>
  <c r="H4" i="8"/>
  <c r="G4" i="8"/>
  <c r="F4" i="8"/>
  <c r="E4" i="8"/>
  <c r="D4" i="8"/>
  <c r="D5" i="8" s="1"/>
  <c r="C4" i="8"/>
  <c r="B4" i="8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V5" i="7"/>
  <c r="U5" i="7"/>
  <c r="T5" i="7"/>
  <c r="Q5" i="7"/>
  <c r="P5" i="7"/>
  <c r="N5" i="7"/>
  <c r="H5" i="7"/>
  <c r="G5" i="7"/>
  <c r="F5" i="7"/>
  <c r="E5" i="7"/>
  <c r="D5" i="7"/>
  <c r="V4" i="7"/>
  <c r="U4" i="7"/>
  <c r="T4" i="7"/>
  <c r="S4" i="7"/>
  <c r="S5" i="7" s="1"/>
  <c r="R4" i="7"/>
  <c r="R5" i="7" s="1"/>
  <c r="Q4" i="7"/>
  <c r="P4" i="7"/>
  <c r="O4" i="7"/>
  <c r="O5" i="7" s="1"/>
  <c r="N4" i="7"/>
  <c r="M4" i="7"/>
  <c r="M5" i="7" s="1"/>
  <c r="L4" i="7"/>
  <c r="L5" i="7" s="1"/>
  <c r="K4" i="7"/>
  <c r="K5" i="7" s="1"/>
  <c r="J4" i="7"/>
  <c r="J5" i="7" s="1"/>
  <c r="I4" i="7"/>
  <c r="I5" i="7" s="1"/>
  <c r="H4" i="7"/>
  <c r="G4" i="7"/>
  <c r="F4" i="7"/>
  <c r="E4" i="7"/>
  <c r="D4" i="7"/>
  <c r="C4" i="7"/>
  <c r="C5" i="7" s="1"/>
  <c r="B4" i="7"/>
  <c r="B5" i="7" s="1"/>
  <c r="N5" i="6"/>
  <c r="M5" i="6"/>
  <c r="L5" i="6"/>
  <c r="H5" i="6"/>
  <c r="G5" i="6"/>
  <c r="F5" i="6"/>
  <c r="T4" i="6"/>
  <c r="T5" i="6" s="1"/>
  <c r="S4" i="6"/>
  <c r="S5" i="6" s="1"/>
  <c r="R4" i="6"/>
  <c r="R5" i="6" s="1"/>
  <c r="Q4" i="6"/>
  <c r="Q5" i="6" s="1"/>
  <c r="P4" i="6"/>
  <c r="P5" i="6" s="1"/>
  <c r="O4" i="6"/>
  <c r="O5" i="6" s="1"/>
  <c r="N4" i="6"/>
  <c r="M4" i="6"/>
  <c r="L4" i="6"/>
  <c r="K4" i="6"/>
  <c r="K5" i="6" s="1"/>
  <c r="J4" i="6"/>
  <c r="J5" i="6" s="1"/>
  <c r="I4" i="6"/>
  <c r="I5" i="6" s="1"/>
  <c r="H4" i="6"/>
  <c r="G4" i="6"/>
  <c r="F4" i="6"/>
  <c r="E4" i="6"/>
  <c r="E5" i="6" s="1"/>
  <c r="D4" i="6"/>
  <c r="D5" i="6" s="1"/>
  <c r="C4" i="6"/>
  <c r="C5" i="6" s="1"/>
  <c r="B4" i="6"/>
  <c r="B5" i="6" s="1"/>
  <c r="X5" i="5"/>
  <c r="V5" i="5"/>
  <c r="U5" i="5"/>
  <c r="S5" i="5"/>
  <c r="R5" i="5"/>
  <c r="P5" i="5"/>
  <c r="K5" i="5"/>
  <c r="J5" i="5"/>
  <c r="I5" i="5"/>
  <c r="H5" i="5"/>
  <c r="F5" i="5"/>
  <c r="E5" i="5"/>
  <c r="C5" i="5"/>
  <c r="B5" i="5"/>
  <c r="X4" i="5"/>
  <c r="W4" i="5"/>
  <c r="W5" i="5" s="1"/>
  <c r="V4" i="5"/>
  <c r="U4" i="5"/>
  <c r="T4" i="5"/>
  <c r="T5" i="5" s="1"/>
  <c r="S4" i="5"/>
  <c r="R4" i="5"/>
  <c r="Q4" i="5"/>
  <c r="Q5" i="5" s="1"/>
  <c r="P4" i="5"/>
  <c r="O4" i="5"/>
  <c r="O5" i="5" s="1"/>
  <c r="N4" i="5"/>
  <c r="N5" i="5" s="1"/>
  <c r="M4" i="5"/>
  <c r="M5" i="5" s="1"/>
  <c r="L4" i="5"/>
  <c r="L5" i="5" s="1"/>
  <c r="K4" i="5"/>
  <c r="J4" i="5"/>
  <c r="I4" i="5"/>
  <c r="H4" i="5"/>
  <c r="G4" i="5"/>
  <c r="G5" i="5" s="1"/>
  <c r="F4" i="5"/>
  <c r="E4" i="5"/>
  <c r="D4" i="5"/>
  <c r="D5" i="5" s="1"/>
  <c r="C4" i="5"/>
  <c r="B4" i="5"/>
  <c r="X5" i="4"/>
  <c r="W5" i="4"/>
  <c r="V5" i="4"/>
  <c r="U5" i="4"/>
  <c r="T5" i="4"/>
  <c r="S5" i="4"/>
  <c r="Q5" i="4"/>
  <c r="P5" i="4"/>
  <c r="N5" i="4"/>
  <c r="I5" i="4"/>
  <c r="H5" i="4"/>
  <c r="G5" i="4"/>
  <c r="F5" i="4"/>
  <c r="E5" i="4"/>
  <c r="D5" i="4"/>
  <c r="C5" i="4"/>
  <c r="X4" i="4"/>
  <c r="W4" i="4"/>
  <c r="V4" i="4"/>
  <c r="U4" i="4"/>
  <c r="T4" i="4"/>
  <c r="S4" i="4"/>
  <c r="R4" i="4"/>
  <c r="R5" i="4" s="1"/>
  <c r="Q4" i="4"/>
  <c r="P4" i="4"/>
  <c r="O4" i="4"/>
  <c r="O5" i="4" s="1"/>
  <c r="N4" i="4"/>
  <c r="M4" i="4"/>
  <c r="M5" i="4" s="1"/>
  <c r="L4" i="4"/>
  <c r="L5" i="4" s="1"/>
  <c r="K4" i="4"/>
  <c r="K5" i="4" s="1"/>
  <c r="J4" i="4"/>
  <c r="J5" i="4" s="1"/>
  <c r="I4" i="4"/>
  <c r="H4" i="4"/>
  <c r="G4" i="4"/>
  <c r="F4" i="4"/>
  <c r="E4" i="4"/>
  <c r="D4" i="4"/>
  <c r="C4" i="4"/>
  <c r="B4" i="4"/>
  <c r="B5" i="4" s="1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T5" i="3"/>
  <c r="R5" i="3"/>
  <c r="Q5" i="3"/>
  <c r="P5" i="3"/>
  <c r="O5" i="3"/>
  <c r="N5" i="3"/>
  <c r="D5" i="3"/>
  <c r="B5" i="3"/>
  <c r="AA4" i="3"/>
  <c r="AA5" i="3" s="1"/>
  <c r="Z4" i="3"/>
  <c r="Z5" i="3" s="1"/>
  <c r="Y4" i="3"/>
  <c r="Y5" i="3" s="1"/>
  <c r="X4" i="3"/>
  <c r="X5" i="3" s="1"/>
  <c r="W4" i="3"/>
  <c r="W5" i="3" s="1"/>
  <c r="V4" i="3"/>
  <c r="V5" i="3" s="1"/>
  <c r="U4" i="3"/>
  <c r="U5" i="3" s="1"/>
  <c r="T4" i="3"/>
  <c r="S4" i="3"/>
  <c r="S5" i="3" s="1"/>
  <c r="R4" i="3"/>
  <c r="Q4" i="3"/>
  <c r="P4" i="3"/>
  <c r="O4" i="3"/>
  <c r="N4" i="3"/>
  <c r="M4" i="3"/>
  <c r="M5" i="3" s="1"/>
  <c r="L4" i="3"/>
  <c r="L5" i="3" s="1"/>
  <c r="K4" i="3"/>
  <c r="K5" i="3" s="1"/>
  <c r="J4" i="3"/>
  <c r="J5" i="3" s="1"/>
  <c r="I4" i="3"/>
  <c r="I5" i="3" s="1"/>
  <c r="H4" i="3"/>
  <c r="H5" i="3" s="1"/>
  <c r="G4" i="3"/>
  <c r="G5" i="3" s="1"/>
  <c r="F4" i="3"/>
  <c r="F5" i="3" s="1"/>
  <c r="E4" i="3"/>
  <c r="E5" i="3" s="1"/>
  <c r="D4" i="3"/>
  <c r="C4" i="3"/>
  <c r="C5" i="3" s="1"/>
  <c r="B4" i="3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V5" i="2"/>
  <c r="U5" i="2"/>
  <c r="S5" i="2"/>
  <c r="M5" i="2"/>
  <c r="L5" i="2"/>
  <c r="K5" i="2"/>
  <c r="J5" i="2"/>
  <c r="I5" i="2"/>
  <c r="H5" i="2"/>
  <c r="F5" i="2"/>
  <c r="E5" i="2"/>
  <c r="C5" i="2"/>
  <c r="W4" i="2"/>
  <c r="W5" i="2" s="1"/>
  <c r="V4" i="2"/>
  <c r="U4" i="2"/>
  <c r="T4" i="2"/>
  <c r="T5" i="2" s="1"/>
  <c r="S4" i="2"/>
  <c r="R4" i="2"/>
  <c r="R5" i="2" s="1"/>
  <c r="Q4" i="2"/>
  <c r="Q5" i="2" s="1"/>
  <c r="P4" i="2"/>
  <c r="P5" i="2" s="1"/>
  <c r="O4" i="2"/>
  <c r="O5" i="2" s="1"/>
  <c r="N4" i="2"/>
  <c r="N5" i="2" s="1"/>
  <c r="M4" i="2"/>
  <c r="L4" i="2"/>
  <c r="K4" i="2"/>
  <c r="J4" i="2"/>
  <c r="I4" i="2"/>
  <c r="H4" i="2"/>
  <c r="G4" i="2"/>
  <c r="G5" i="2" s="1"/>
  <c r="F4" i="2"/>
  <c r="E4" i="2"/>
  <c r="D4" i="2"/>
  <c r="D5" i="2" s="1"/>
  <c r="C4" i="2"/>
  <c r="B4" i="2"/>
  <c r="B5" i="2" s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S5" i="1"/>
  <c r="R5" i="1"/>
  <c r="Q5" i="1"/>
  <c r="P5" i="1"/>
  <c r="C5" i="1"/>
  <c r="B5" i="1"/>
  <c r="Z4" i="1"/>
  <c r="Z5" i="1" s="1"/>
  <c r="Y4" i="1"/>
  <c r="Y5" i="1" s="1"/>
  <c r="X4" i="1"/>
  <c r="X5" i="1" s="1"/>
  <c r="W4" i="1"/>
  <c r="W5" i="1" s="1"/>
  <c r="V4" i="1"/>
  <c r="V5" i="1" s="1"/>
  <c r="U4" i="1"/>
  <c r="U5" i="1" s="1"/>
  <c r="T4" i="1"/>
  <c r="T5" i="1" s="1"/>
  <c r="S4" i="1"/>
  <c r="R4" i="1"/>
  <c r="Q4" i="1"/>
  <c r="P4" i="1"/>
  <c r="O4" i="1"/>
  <c r="O5" i="1" s="1"/>
  <c r="N4" i="1"/>
  <c r="N5" i="1" s="1"/>
  <c r="M4" i="1"/>
  <c r="M5" i="1" s="1"/>
  <c r="L4" i="1"/>
  <c r="L5" i="1" s="1"/>
  <c r="K4" i="1"/>
  <c r="K5" i="1" s="1"/>
  <c r="J4" i="1"/>
  <c r="J5" i="1" s="1"/>
  <c r="I4" i="1"/>
  <c r="I5" i="1" s="1"/>
  <c r="H4" i="1"/>
  <c r="H5" i="1" s="1"/>
  <c r="G4" i="1"/>
  <c r="G5" i="1" s="1"/>
  <c r="F4" i="1"/>
  <c r="F5" i="1" s="1"/>
  <c r="E4" i="1"/>
  <c r="E5" i="1" s="1"/>
  <c r="D4" i="1"/>
  <c r="D5" i="1" s="1"/>
  <c r="C4" i="1"/>
  <c r="B4" i="1"/>
</calcChain>
</file>

<file path=xl/sharedStrings.xml><?xml version="1.0" encoding="utf-8"?>
<sst xmlns="http://schemas.openxmlformats.org/spreadsheetml/2006/main" count="315" uniqueCount="242">
  <si>
    <t>CD 3</t>
  </si>
  <si>
    <t>18-Nov
5:37 PM</t>
  </si>
  <si>
    <t>21-Nov
1:26 PM</t>
  </si>
  <si>
    <t>22-Nov
4:40 PM</t>
  </si>
  <si>
    <t>28-Nov
2:58 PM</t>
  </si>
  <si>
    <t>29-Nov
7:24 PM</t>
  </si>
  <si>
    <t>30-Nov
4:40 PM</t>
  </si>
  <si>
    <t>02-Dec
6:02 PM</t>
  </si>
  <si>
    <t>06-Dec
1:50 PM</t>
  </si>
  <si>
    <t xml:space="preserve">Kevin Kiley (R) Votes </t>
  </si>
  <si>
    <t xml:space="preserve">Kermit Jones (D) Votes </t>
  </si>
  <si>
    <t>Vote Difference</t>
  </si>
  <si>
    <t>Margin</t>
  </si>
  <si>
    <t>Total Unprocessed Ballots*</t>
  </si>
  <si>
    <t>Alpine</t>
  </si>
  <si>
    <t>El Dorado</t>
  </si>
  <si>
    <t>Inyo</t>
  </si>
  <si>
    <t>Mono</t>
  </si>
  <si>
    <t>Nevada</t>
  </si>
  <si>
    <t>Placer</t>
  </si>
  <si>
    <t>Plumas</t>
  </si>
  <si>
    <t>Sacramento</t>
  </si>
  <si>
    <t>Sierra</t>
  </si>
  <si>
    <t>Yuba</t>
  </si>
  <si>
    <t>Sources for unprocessed ballot numbers</t>
  </si>
  <si>
    <r>
      <rPr>
        <sz val="11"/>
        <color rgb="FF000000"/>
        <rFont val="Calibri"/>
      </rPr>
      <t>Alpine, El Dorado, Nevada, Placer, Plumas and Sierra:</t>
    </r>
    <r>
      <rPr>
        <sz val="11"/>
        <color rgb="FF0563C1"/>
        <rFont val="Calibri"/>
      </rPr>
      <t xml:space="preserve"> </t>
    </r>
    <r>
      <rPr>
        <u/>
        <sz val="11"/>
        <color rgb="FF1155CC"/>
        <rFont val="Calibri"/>
      </rPr>
      <t xml:space="preserve">https://elections.cdn.sos.ca.gov/statewide-elections/2022-general/unprocessed-ballots-report.pdf </t>
    </r>
    <r>
      <rPr>
        <sz val="11"/>
        <color rgb="FF0563C1"/>
        <rFont val="Calibri"/>
      </rPr>
      <t xml:space="preserve">
</t>
    </r>
    <r>
      <rPr>
        <sz val="11"/>
        <color rgb="FF000000"/>
        <rFont val="Calibri"/>
      </rPr>
      <t xml:space="preserve">Inyo: </t>
    </r>
    <r>
      <rPr>
        <u/>
        <sz val="11"/>
        <color rgb="FF1155CC"/>
        <rFont val="Calibri"/>
      </rPr>
      <t xml:space="preserve">https://elections.inyocounty.us/results/ </t>
    </r>
    <r>
      <rPr>
        <sz val="11"/>
        <color rgb="FF0563C1"/>
        <rFont val="Calibri"/>
      </rPr>
      <t xml:space="preserve">
</t>
    </r>
    <r>
      <rPr>
        <sz val="11"/>
        <color rgb="FF000000"/>
        <rFont val="Calibri"/>
      </rPr>
      <t xml:space="preserve">Mono: </t>
    </r>
    <r>
      <rPr>
        <u/>
        <sz val="11"/>
        <color rgb="FF1155CC"/>
        <rFont val="Calibri"/>
      </rPr>
      <t xml:space="preserve">https://www.monocounty.ca.gov/elections/page/november-8-2022-general-election-results </t>
    </r>
    <r>
      <rPr>
        <sz val="11"/>
        <color rgb="FF0563C1"/>
        <rFont val="Calibri"/>
      </rPr>
      <t xml:space="preserve">
</t>
    </r>
    <r>
      <rPr>
        <sz val="11"/>
        <color rgb="FF000000"/>
        <rFont val="Calibri"/>
      </rPr>
      <t>Sacramento:</t>
    </r>
    <r>
      <rPr>
        <u/>
        <sz val="11"/>
        <color rgb="FF1155CC"/>
        <rFont val="Calibri"/>
      </rPr>
      <t xml:space="preserve"> https://results.saccounty.gov/Default.aspx </t>
    </r>
    <r>
      <rPr>
        <sz val="11"/>
        <color rgb="FF0563C1"/>
        <rFont val="Calibri"/>
      </rPr>
      <t xml:space="preserve">
</t>
    </r>
    <r>
      <rPr>
        <sz val="11"/>
        <color rgb="FF000000"/>
        <rFont val="Calibri"/>
      </rPr>
      <t>Yuba:</t>
    </r>
    <r>
      <rPr>
        <sz val="11"/>
        <color rgb="FF0563C1"/>
        <rFont val="Calibri"/>
      </rPr>
      <t xml:space="preserve"> </t>
    </r>
    <r>
      <rPr>
        <u/>
        <sz val="11"/>
        <color rgb="FF1155CC"/>
        <rFont val="Calibri"/>
      </rPr>
      <t>https://www.yuba.org/departments/elections/election_results.php</t>
    </r>
    <r>
      <rPr>
        <sz val="11"/>
        <color rgb="FF0563C1"/>
        <rFont val="Calibri"/>
      </rPr>
      <t xml:space="preserve">
</t>
    </r>
  </si>
  <si>
    <r>
      <rPr>
        <b/>
        <sz val="11"/>
        <color theme="1"/>
        <rFont val="Calibri"/>
      </rPr>
      <t>*</t>
    </r>
    <r>
      <rPr>
        <sz val="11"/>
        <color theme="1"/>
        <rFont val="Calibri"/>
      </rPr>
      <t xml:space="preserve"> This number reflects ALL the ballots remaining to be counted in each county NOT the number of ballots remaining to be counted in just this political district.</t>
    </r>
  </si>
  <si>
    <r>
      <rPr>
        <b/>
        <sz val="11"/>
        <rFont val="Calibri"/>
      </rPr>
      <t xml:space="preserve">The Associated Press called this race for Kevin Kiley on 11/22/22: </t>
    </r>
    <r>
      <rPr>
        <b/>
        <u/>
        <sz val="11"/>
        <color rgb="FF1155CC"/>
        <rFont val="Calibri"/>
      </rPr>
      <t>https://apnews.com/article/2022-midterm-elections-california-veterans-sacramento-gavin-newsom-868cf922b642790bb63217d370070d50</t>
    </r>
  </si>
  <si>
    <r>
      <rPr>
        <b/>
        <sz val="11"/>
        <rFont val="Calibri"/>
      </rPr>
      <t xml:space="preserve">Inyo County certified their results on 11/23/22: </t>
    </r>
    <r>
      <rPr>
        <b/>
        <u/>
        <sz val="11"/>
        <color rgb="FF1155CC"/>
        <rFont val="Calibri"/>
      </rPr>
      <t>https://drive.google.com/file/d/1k69f4DwCLxh9M06Q0PlYQ9Y3p3aDLYEs/view</t>
    </r>
  </si>
  <si>
    <r>
      <rPr>
        <b/>
        <sz val="11"/>
        <rFont val="Calibri"/>
      </rPr>
      <t xml:space="preserve">Mono County certified their results on 11/29/22: </t>
    </r>
    <r>
      <rPr>
        <b/>
        <u/>
        <sz val="11"/>
        <color rgb="FF1155CC"/>
        <rFont val="Calibri"/>
      </rPr>
      <t>https://www.monocounty.ca.gov/sites/default/files/fileattachments/elections/page/32644/mono_canvass_for_website.pdf</t>
    </r>
  </si>
  <si>
    <r>
      <rPr>
        <b/>
        <sz val="11"/>
        <rFont val="Calibri"/>
      </rPr>
      <t xml:space="preserve">Yuba County certified their results on 11/30/22: </t>
    </r>
    <r>
      <rPr>
        <b/>
        <u/>
        <sz val="11"/>
        <color rgb="FF1155CC"/>
        <rFont val="Calibri"/>
      </rPr>
      <t>https://files4.revize.com/yubaca/Yuba%20County/Elections/Current%20Election/Results/Nov22/Nov2022_Final_Results.pdf</t>
    </r>
  </si>
  <si>
    <r>
      <rPr>
        <b/>
        <sz val="11"/>
        <rFont val="Calibri"/>
      </rPr>
      <t xml:space="preserve">El Dorado County certified their results on 12/01/22: </t>
    </r>
    <r>
      <rPr>
        <b/>
        <u/>
        <sz val="11"/>
        <color rgb="FF1155CC"/>
        <rFont val="Calibri"/>
      </rPr>
      <t>https://www.edcgov.us/Government/Elections/Pages/elections_main_info.aspx</t>
    </r>
  </si>
  <si>
    <r>
      <rPr>
        <b/>
        <sz val="11"/>
        <rFont val="Calibri"/>
      </rPr>
      <t xml:space="preserve">Nevada County certified their results on 12/02/22: </t>
    </r>
    <r>
      <rPr>
        <b/>
        <u/>
        <sz val="11"/>
        <color rgb="FF1155CC"/>
        <rFont val="Calibri"/>
      </rPr>
      <t>https://www.nevadacountyca.gov/DocumentCenter/View/46317/Cumulative-Results---With-Judge-Names-12-2-2022-03-12-52-PM</t>
    </r>
  </si>
  <si>
    <r>
      <rPr>
        <b/>
        <sz val="11"/>
        <rFont val="Calibri"/>
      </rPr>
      <t xml:space="preserve">Placer County certified their results on 12/07/22: </t>
    </r>
    <r>
      <rPr>
        <b/>
        <u/>
        <sz val="11"/>
        <color rgb="FF1155CC"/>
        <rFont val="Calibri"/>
      </rPr>
      <t>https://www.placercountyelections.gov/election-night-results/</t>
    </r>
    <r>
      <rPr>
        <b/>
        <sz val="11"/>
        <rFont val="Calibri"/>
      </rPr>
      <t xml:space="preserve">	
</t>
    </r>
  </si>
  <si>
    <r>
      <rPr>
        <b/>
        <sz val="11"/>
        <rFont val="Calibri"/>
      </rPr>
      <t xml:space="preserve">Sacramento County ceritfied their results on 12/07/22: </t>
    </r>
    <r>
      <rPr>
        <b/>
        <u/>
        <sz val="11"/>
        <color rgb="FF1155CC"/>
        <rFont val="Calibri"/>
      </rPr>
      <t>https://elections.saccounty.gov/ElectionInformation/Documents/2022-November-General/Reports/12072022.pdf</t>
    </r>
  </si>
  <si>
    <r>
      <rPr>
        <b/>
        <sz val="11"/>
        <rFont val="Calibri"/>
      </rPr>
      <t xml:space="preserve">Sierra County certified their results on 12/07/22: </t>
    </r>
    <r>
      <rPr>
        <b/>
        <u/>
        <sz val="11"/>
        <color rgb="FF1155CC"/>
        <rFont val="Calibri"/>
      </rPr>
      <t>https://www.sierracounty.ca.gov/DocumentCenter/View/7679/Statement-of-Vote</t>
    </r>
  </si>
  <si>
    <t>CD 13</t>
  </si>
  <si>
    <t>18-Nov 
5:43 PM</t>
  </si>
  <si>
    <t>21-Nov
1:30 PM</t>
  </si>
  <si>
    <t>22-Nov
4:42 PM</t>
  </si>
  <si>
    <t>28-Nov
3:00 PM</t>
  </si>
  <si>
    <t>29-Nov
7:26 PM</t>
  </si>
  <si>
    <t>30-Nov
4:42 PM</t>
  </si>
  <si>
    <t>02-Dec
6:05 PM</t>
  </si>
  <si>
    <t>06-Dec
1:51 PM</t>
  </si>
  <si>
    <t xml:space="preserve">John Duarte (R) Votes </t>
  </si>
  <si>
    <t xml:space="preserve">Adam Gray (D) Votes </t>
  </si>
  <si>
    <t>Total Votes Cast</t>
  </si>
  <si>
    <t>Fresno</t>
  </si>
  <si>
    <t>Madera</t>
  </si>
  <si>
    <t>Merced</t>
  </si>
  <si>
    <t>San Joaquin</t>
  </si>
  <si>
    <t>Stanislaus</t>
  </si>
  <si>
    <r>
      <rPr>
        <sz val="11"/>
        <color rgb="FF000000"/>
        <rFont val="Calibri"/>
      </rPr>
      <t xml:space="preserve">Madera: </t>
    </r>
    <r>
      <rPr>
        <u/>
        <sz val="11"/>
        <color rgb="FF1155CC"/>
        <rFont val="Calibri"/>
      </rPr>
      <t>https://votemadera.com/consolidated-general-election-november-8-2022/</t>
    </r>
    <r>
      <rPr>
        <sz val="11"/>
        <color rgb="FF0563C1"/>
        <rFont val="Calibri"/>
      </rPr>
      <t xml:space="preserve">
</t>
    </r>
    <r>
      <rPr>
        <sz val="11"/>
        <color rgb="FF000000"/>
        <rFont val="Calibri"/>
      </rPr>
      <t xml:space="preserve">San Joaquin: </t>
    </r>
    <r>
      <rPr>
        <u/>
        <sz val="11"/>
        <color rgb="FF1155CC"/>
        <rFont val="Calibri"/>
      </rPr>
      <t>https://www.sjgov.org/department/rov/election-information/current_election</t>
    </r>
    <r>
      <rPr>
        <sz val="11"/>
        <color rgb="FF0563C1"/>
        <rFont val="Calibri"/>
      </rPr>
      <t xml:space="preserve">
</t>
    </r>
    <r>
      <rPr>
        <sz val="11"/>
        <color rgb="FF000000"/>
        <rFont val="Calibri"/>
      </rPr>
      <t>Fresno, Merced and Stanislaus</t>
    </r>
    <r>
      <rPr>
        <sz val="11"/>
        <color rgb="FF0563C1"/>
        <rFont val="Calibri"/>
      </rPr>
      <t xml:space="preserve">: </t>
    </r>
    <r>
      <rPr>
        <u/>
        <sz val="11"/>
        <color rgb="FF1155CC"/>
        <rFont val="Calibri"/>
      </rPr>
      <t>https://elections.cdn.sos.ca.gov/statewide-elections/2022-general/unprocessed-ballots-report.pdf</t>
    </r>
    <r>
      <rPr>
        <sz val="11"/>
        <color rgb="FF0563C1"/>
        <rFont val="Calibri"/>
      </rPr>
      <t xml:space="preserve">
</t>
    </r>
  </si>
  <si>
    <r>
      <rPr>
        <b/>
        <sz val="11"/>
        <color theme="1"/>
        <rFont val="Calibri"/>
      </rPr>
      <t>*</t>
    </r>
    <r>
      <rPr>
        <sz val="11"/>
        <color theme="1"/>
        <rFont val="Calibri"/>
      </rPr>
      <t xml:space="preserve"> This number reflects ALL the ballots remaining to be counted in each county NOT the number of ballots remaining to be counted in just this political district.</t>
    </r>
  </si>
  <si>
    <r>
      <rPr>
        <b/>
        <sz val="11"/>
        <rFont val="Calibri"/>
      </rPr>
      <t xml:space="preserve">The Associated Press called this race for John Duarte on 12/02/22: </t>
    </r>
    <r>
      <rPr>
        <b/>
        <u/>
        <sz val="11"/>
        <color rgb="FF1155CC"/>
        <rFont val="Calibri"/>
      </rPr>
      <t xml:space="preserve">https://apnews.com/article/2022-midterm-elections-california-race-and-ethnicity-congress-government-politics-a75c8a9b693ce9a39cce7be09eb124dc </t>
    </r>
  </si>
  <si>
    <r>
      <rPr>
        <b/>
        <sz val="11"/>
        <rFont val="Calibri"/>
      </rPr>
      <t xml:space="preserve">Merced County certified their results on 11/22/22: </t>
    </r>
    <r>
      <rPr>
        <b/>
        <u/>
        <sz val="11"/>
        <color rgb="FF1155CC"/>
        <rFont val="Calibri"/>
      </rPr>
      <t>https://results.enr.clarityelections.com/CA/Merced/116138/web.307039/#/summary</t>
    </r>
  </si>
  <si>
    <r>
      <rPr>
        <b/>
        <sz val="11"/>
        <rFont val="Calibri"/>
      </rPr>
      <t xml:space="preserve">Madera County certified their results on 11/23/22: </t>
    </r>
    <r>
      <rPr>
        <b/>
        <u/>
        <sz val="11"/>
        <color rgb="FF1155CC"/>
        <rFont val="Calibri"/>
      </rPr>
      <t>https://results.enr.clarityelections.com/CA/Madera/116174/web.307039/#/summary</t>
    </r>
  </si>
  <si>
    <r>
      <rPr>
        <b/>
        <sz val="11"/>
        <rFont val="Calibri"/>
      </rPr>
      <t xml:space="preserve">Stanislaus County certified their results on 11/23/22: </t>
    </r>
    <r>
      <rPr>
        <b/>
        <u/>
        <sz val="11"/>
        <color rgb="FF1155CC"/>
        <rFont val="Calibri"/>
      </rPr>
      <t>https://stanvote.com/pdf/past-results/11-08-2022-sov.pdf</t>
    </r>
  </si>
  <si>
    <r>
      <rPr>
        <b/>
        <sz val="11"/>
        <rFont val="Calibri"/>
      </rPr>
      <t xml:space="preserve">San Joaquin County certified their results on 12/01/22: </t>
    </r>
    <r>
      <rPr>
        <b/>
        <u/>
        <sz val="11"/>
        <color rgb="FF1155CC"/>
        <rFont val="Calibri"/>
      </rPr>
      <t>https://www.livevoterturnout.com/ENR/sanjoaquincaenr/14/en/Index_14.html</t>
    </r>
  </si>
  <si>
    <r>
      <rPr>
        <b/>
        <sz val="11"/>
        <rFont val="Calibri"/>
      </rPr>
      <t xml:space="preserve">Fresno Country certified their results on 12/08/22: </t>
    </r>
    <r>
      <rPr>
        <b/>
        <u/>
        <sz val="11"/>
        <color rgb="FF1155CC"/>
        <rFont val="Calibri"/>
      </rPr>
      <t>https://www.co.fresno.ca.us/departments/county-clerk-registrar-of-voters/election-information/election-results/results-for-november-8-2022-statewide-general-election</t>
    </r>
  </si>
  <si>
    <t>CD 22</t>
  </si>
  <si>
    <t>18-Nov
5:47 PM</t>
  </si>
  <si>
    <t>22-Nov
4:44 PM</t>
  </si>
  <si>
    <t>28-Nov
3:02 PM</t>
  </si>
  <si>
    <t>29-Nov
7:29 PM</t>
  </si>
  <si>
    <t>30-Nov
4:45 PM</t>
  </si>
  <si>
    <t>02-Dec
6:10 PM</t>
  </si>
  <si>
    <t>06-Dec
1:53 PM</t>
  </si>
  <si>
    <t xml:space="preserve">David G. Valadao (R) Votes </t>
  </si>
  <si>
    <t xml:space="preserve">Rudy Salas (D) Votes </t>
  </si>
  <si>
    <t>Kern</t>
  </si>
  <si>
    <t>Kings</t>
  </si>
  <si>
    <t>Tulare</t>
  </si>
  <si>
    <r>
      <rPr>
        <sz val="11"/>
        <color rgb="FF000000"/>
        <rFont val="Calibri"/>
      </rPr>
      <t xml:space="preserve">Kern and Tulare: </t>
    </r>
    <r>
      <rPr>
        <u/>
        <sz val="11"/>
        <color rgb="FF1155CC"/>
        <rFont val="Calibri"/>
      </rPr>
      <t xml:space="preserve">https://elections.cdn.sos.ca.gov/statewide-elections/2022-general/unprocessed-ballots-report.pdf </t>
    </r>
    <r>
      <rPr>
        <sz val="11"/>
        <color rgb="FF000000"/>
        <rFont val="Calibri"/>
      </rPr>
      <t xml:space="preserve">
Kings: </t>
    </r>
    <r>
      <rPr>
        <u/>
        <sz val="11"/>
        <color rgb="FF1155CC"/>
        <rFont val="Calibri"/>
      </rPr>
      <t>https://www.countyofkings.com/departments/administration/elections/election-information/election-results</t>
    </r>
    <r>
      <rPr>
        <sz val="11"/>
        <color rgb="FF000000"/>
        <rFont val="Calibri"/>
      </rPr>
      <t xml:space="preserve">
</t>
    </r>
  </si>
  <si>
    <r>
      <rPr>
        <b/>
        <sz val="11"/>
        <color theme="1"/>
        <rFont val="Calibri"/>
      </rPr>
      <t>*</t>
    </r>
    <r>
      <rPr>
        <sz val="11"/>
        <color theme="1"/>
        <rFont val="Calibri"/>
      </rPr>
      <t xml:space="preserve"> This number reflects ALL the ballots remaining to be counted in each county NOT the number of ballots remaining to be counted in just this political district.</t>
    </r>
  </si>
  <si>
    <r>
      <rPr>
        <b/>
        <sz val="11"/>
        <rFont val="Calibri"/>
      </rPr>
      <t xml:space="preserve">The Associated Press called this race for David G. Valadao on 11/21/22: </t>
    </r>
    <r>
      <rPr>
        <b/>
        <u/>
        <sz val="11"/>
        <color rgb="FF1155CC"/>
        <rFont val="Calibri"/>
      </rPr>
      <t>https://apnews.com/article/california-donald-trump-voter-registration-david-valadao-dan-newhouse-216d0f43fe68a22222f175d2a8a94daa</t>
    </r>
  </si>
  <si>
    <r>
      <rPr>
        <b/>
        <sz val="11"/>
        <rFont val="Calibri"/>
      </rPr>
      <t>Kings County certified their results on 11/29/22:</t>
    </r>
    <r>
      <rPr>
        <b/>
        <u/>
        <sz val="11"/>
        <color rgb="FF1155CC"/>
        <rFont val="Calibri"/>
      </rPr>
      <t xml:space="preserve"> https://www.countyofkings.com/home/showpublisheddocument/30296        </t>
    </r>
  </si>
  <si>
    <r>
      <rPr>
        <b/>
        <sz val="11"/>
        <rFont val="Calibri"/>
      </rPr>
      <t xml:space="preserve">Tulare County certified their results on 11/30/22: </t>
    </r>
    <r>
      <rPr>
        <b/>
        <u/>
        <sz val="11"/>
        <color rgb="FF1155CC"/>
        <rFont val="Calibri"/>
      </rPr>
      <t xml:space="preserve">https://tularecoelections.org/elections/registrar-of-voters/current-election-information/november-8-2022-general-election-elecciones-generales-del-8-de-noviembre-de-2022/statement-of-vote/                </t>
    </r>
  </si>
  <si>
    <r>
      <rPr>
        <b/>
        <sz val="11"/>
        <rFont val="Calibri"/>
      </rPr>
      <t xml:space="preserve">Kern County certified their results on 12/07/22: </t>
    </r>
    <r>
      <rPr>
        <b/>
        <u/>
        <sz val="11"/>
        <color rgb="FF1155CC"/>
        <rFont val="Calibri"/>
      </rPr>
      <t>https://kernvote.com/ElectionInformation/Results/?ID=117</t>
    </r>
  </si>
  <si>
    <t>CD 27</t>
  </si>
  <si>
    <t>18-Nov
5:49 PM</t>
  </si>
  <si>
    <t>21-Nov
1:32 PM</t>
  </si>
  <si>
    <t>22-Nov
4:46 PM</t>
  </si>
  <si>
    <t>28-Nov
3:03 PM</t>
  </si>
  <si>
    <t>29-Nov
7:31 PM</t>
  </si>
  <si>
    <t>02-Dec
6:11 PM</t>
  </si>
  <si>
    <t>06-Dec
1:55 PM</t>
  </si>
  <si>
    <t xml:space="preserve">Mike Garcia (R) Votes </t>
  </si>
  <si>
    <t xml:space="preserve">Christy Smith (D) Votes </t>
  </si>
  <si>
    <t>Los Angeles</t>
  </si>
  <si>
    <t>Source for unprocessed ballot numbers</t>
  </si>
  <si>
    <t>https://elections.cdn.sos.ca.gov/statewide-elections/2022-general/unprocessed-ballots-report.pdf</t>
  </si>
  <si>
    <r>
      <rPr>
        <b/>
        <sz val="11"/>
        <color theme="1"/>
        <rFont val="Calibri"/>
      </rPr>
      <t>*</t>
    </r>
    <r>
      <rPr>
        <sz val="11"/>
        <color theme="1"/>
        <rFont val="Calibri"/>
      </rPr>
      <t xml:space="preserve"> This number reflects ALL the ballots remaining to be counted in each county NOT the number of ballots remaining to be counted in just this political district.</t>
    </r>
  </si>
  <si>
    <r>
      <rPr>
        <b/>
        <sz val="11"/>
        <rFont val="Calibri"/>
      </rPr>
      <t xml:space="preserve">The Associated Press called this race for Mike Garcia on 11/16/22: </t>
    </r>
    <r>
      <rPr>
        <b/>
        <u/>
        <sz val="11"/>
        <color rgb="FF1155CC"/>
        <rFont val="Calibri"/>
      </rPr>
      <t>https://apnews.com/article/2022-midterm-elections-gop-california-house-win-6f63ce40257c35c25e798a6dc6988af3</t>
    </r>
  </si>
  <si>
    <r>
      <rPr>
        <b/>
        <sz val="11"/>
        <rFont val="Calibri"/>
      </rPr>
      <t xml:space="preserve">Los Angeles County Certified their results on 12/05/22: </t>
    </r>
    <r>
      <rPr>
        <b/>
        <u/>
        <sz val="11"/>
        <color rgb="FF1155CC"/>
        <rFont val="Calibri"/>
      </rPr>
      <t>https://www.lavote.gov/docs/rrcc/news-releases/11082022_certified-results.pdf</t>
    </r>
  </si>
  <si>
    <t>CD 34</t>
  </si>
  <si>
    <t>18-Nov
5:52 PM</t>
  </si>
  <si>
    <t>21-Nov
1:34 PM</t>
  </si>
  <si>
    <t>22-Nov
4:48 PM</t>
  </si>
  <si>
    <t>28-Nov
3:04 PM</t>
  </si>
  <si>
    <t>29-Nov
7:32 PM</t>
  </si>
  <si>
    <t>30-Nov
4:47 PM</t>
  </si>
  <si>
    <t>02-Dec
6:13 PM</t>
  </si>
  <si>
    <t>06-Dec
1:56 PM</t>
  </si>
  <si>
    <t xml:space="preserve">Jimmy Gomez (D) Votes </t>
  </si>
  <si>
    <t xml:space="preserve">David Kim (D) Votes </t>
  </si>
  <si>
    <r>
      <rPr>
        <b/>
        <sz val="11"/>
        <color theme="1"/>
        <rFont val="Calibri"/>
      </rPr>
      <t>*</t>
    </r>
    <r>
      <rPr>
        <sz val="11"/>
        <color theme="1"/>
        <rFont val="Calibri"/>
      </rPr>
      <t xml:space="preserve"> This number reflects ALL the ballots remaining to be counted in each county NOT the number of ballots remaining to be counted in just this political district.</t>
    </r>
  </si>
  <si>
    <r>
      <rPr>
        <b/>
        <sz val="11"/>
        <rFont val="Calibri"/>
      </rPr>
      <t xml:space="preserve">The Associated Press called this race for Jimmy Gomez on 11/19/22: </t>
    </r>
    <r>
      <rPr>
        <b/>
        <u/>
        <sz val="11"/>
        <color rgb="FF1155CC"/>
        <rFont val="Calibri"/>
      </rPr>
      <t>https://apnews.com/article/2022-midterm-elections-california-los-angeles-government-and-politics-faa076855197ae17f0fa26a635acb367</t>
    </r>
  </si>
  <si>
    <r>
      <rPr>
        <b/>
        <sz val="11"/>
        <rFont val="Calibri"/>
      </rPr>
      <t xml:space="preserve">Los Angeles County Certified their results on 12/05/22: </t>
    </r>
    <r>
      <rPr>
        <b/>
        <u/>
        <sz val="11"/>
        <color rgb="FF1155CC"/>
        <rFont val="Calibri"/>
      </rPr>
      <t>https://www.lavote.gov/docs/rrcc/news-releases/11082022_certified-results.pdf</t>
    </r>
  </si>
  <si>
    <t>CD 41</t>
  </si>
  <si>
    <t>18-Nov
5:54 PM</t>
  </si>
  <si>
    <t>21-Nov
1:35 PM</t>
  </si>
  <si>
    <t>22-Nov
4:49 PM</t>
  </si>
  <si>
    <t>28-Nov
3:05 PM</t>
  </si>
  <si>
    <t>29-Nov
7:34 PM</t>
  </si>
  <si>
    <t>30-Nov
4:48 PM</t>
  </si>
  <si>
    <t xml:space="preserve">Ken Calvert (R) Votes </t>
  </si>
  <si>
    <t xml:space="preserve"> Will Rollins (D) Votes </t>
  </si>
  <si>
    <t>Riverside</t>
  </si>
  <si>
    <t>https://voteinfo.net/</t>
  </si>
  <si>
    <r>
      <rPr>
        <b/>
        <sz val="11"/>
        <color theme="1"/>
        <rFont val="Calibri"/>
      </rPr>
      <t>*</t>
    </r>
    <r>
      <rPr>
        <sz val="11"/>
        <color theme="1"/>
        <rFont val="Calibri"/>
      </rPr>
      <t xml:space="preserve"> This number reflects ALL the ballots remaining to be counted in each county NOT the number of ballots remaining to be counted in just this political district.</t>
    </r>
  </si>
  <si>
    <r>
      <rPr>
        <b/>
        <sz val="11"/>
        <color rgb="FF000000"/>
        <rFont val="Calibri"/>
      </rPr>
      <t xml:space="preserve">The Associated Press called this race for Ken Calvert on 11/14/22: </t>
    </r>
    <r>
      <rPr>
        <b/>
        <u/>
        <sz val="11"/>
        <color rgb="FF1155CC"/>
        <rFont val="Calibri"/>
      </rPr>
      <t>https://apnews.com/article/2022-midterm-elections-california-house-elections-gop-382318869531533a47bfada98a9a7efa</t>
    </r>
  </si>
  <si>
    <r>
      <rPr>
        <b/>
        <sz val="11"/>
        <rFont val="Calibri"/>
      </rPr>
      <t xml:space="preserve">Riverside County certified their results on 12/01/22: </t>
    </r>
    <r>
      <rPr>
        <b/>
        <u/>
        <sz val="11"/>
        <color rgb="FF1155CC"/>
        <rFont val="Calibri"/>
      </rPr>
      <t>https://voteinfo.net/Elections/20221108/docs/ElectionSummaryReportRPT_mhtml.htm</t>
    </r>
  </si>
  <si>
    <t>CD 45</t>
  </si>
  <si>
    <t>18-Nov
6:00 PM</t>
  </si>
  <si>
    <t>21-Nov
1:36 PM</t>
  </si>
  <si>
    <t>22-Nov
4:50 PM</t>
  </si>
  <si>
    <t>29-Nov
7:47 PM</t>
  </si>
  <si>
    <t>30-Nov
4:49 PM</t>
  </si>
  <si>
    <t>02-Dec
6:21 PM</t>
  </si>
  <si>
    <t xml:space="preserve">Michelle Steel (R) Votes </t>
  </si>
  <si>
    <t xml:space="preserve"> Jay F. Chen (D) Votes </t>
  </si>
  <si>
    <t>Orange</t>
  </si>
  <si>
    <t>4,690</t>
  </si>
  <si>
    <r>
      <rPr>
        <sz val="11"/>
        <color theme="1"/>
        <rFont val="Calibri"/>
      </rPr>
      <t>Los Angeles:</t>
    </r>
    <r>
      <rPr>
        <sz val="11"/>
        <color rgb="FF0563C1"/>
        <rFont val="Calibri"/>
      </rPr>
      <t xml:space="preserve"> </t>
    </r>
    <r>
      <rPr>
        <u/>
        <sz val="11"/>
        <color rgb="FF1155CC"/>
        <rFont val="Calibri"/>
      </rPr>
      <t xml:space="preserve">https://elections.cdn.sos.ca.gov/statewide-elections/2022-general/unprocessed-ballots-report.pdf
</t>
    </r>
    <r>
      <rPr>
        <sz val="11"/>
        <color theme="1"/>
        <rFont val="Calibri"/>
      </rPr>
      <t>Orange:</t>
    </r>
    <r>
      <rPr>
        <sz val="11"/>
        <color rgb="FF0563C1"/>
        <rFont val="Calibri"/>
      </rPr>
      <t xml:space="preserve"> </t>
    </r>
    <r>
      <rPr>
        <u/>
        <sz val="11"/>
        <color rgb="FF1155CC"/>
        <rFont val="Calibri"/>
      </rPr>
      <t>https://ocvote.gov/results/whats-left-to-count/total-ballots-left-to-count</t>
    </r>
  </si>
  <si>
    <r>
      <rPr>
        <b/>
        <sz val="11"/>
        <color theme="1"/>
        <rFont val="Calibri"/>
      </rPr>
      <t>*</t>
    </r>
    <r>
      <rPr>
        <sz val="11"/>
        <color theme="1"/>
        <rFont val="Calibri"/>
      </rPr>
      <t xml:space="preserve"> This number reflects ALL the ballots remaining to be counted in each county NOT the number of ballots remaining to be counted in just this political district.</t>
    </r>
  </si>
  <si>
    <r>
      <rPr>
        <b/>
        <sz val="11"/>
        <rFont val="Calibri"/>
      </rPr>
      <t xml:space="preserve">The Associated Press called this race for Michelle Steel on 11/14/22: </t>
    </r>
    <r>
      <rPr>
        <b/>
        <u/>
        <sz val="11"/>
        <color rgb="FF1155CC"/>
        <rFont val="Calibri"/>
      </rPr>
      <t>https://apnews.com/article/2022-midterm-elections-california-house-elections-gop-382318869531533a47bfada98a9a7efa</t>
    </r>
  </si>
  <si>
    <r>
      <rPr>
        <b/>
        <sz val="11"/>
        <rFont val="Calibri"/>
      </rPr>
      <t xml:space="preserve">Orange County certified their results on 12/02/22: </t>
    </r>
    <r>
      <rPr>
        <b/>
        <u/>
        <sz val="11"/>
        <color rgb="FF1155CC"/>
        <rFont val="Calibri"/>
      </rPr>
      <t>https://ocvote.gov/results/current-election-results</t>
    </r>
  </si>
  <si>
    <r>
      <rPr>
        <b/>
        <sz val="11"/>
        <rFont val="Calibri"/>
      </rPr>
      <t xml:space="preserve">Los Angeles County Certified their results on 12/05/22: </t>
    </r>
    <r>
      <rPr>
        <b/>
        <u/>
        <sz val="11"/>
        <color rgb="FF1155CC"/>
        <rFont val="Calibri"/>
      </rPr>
      <t>https://www.lavote.gov/docs/rrcc/news-releases/11082022_certified-results.pdf</t>
    </r>
  </si>
  <si>
    <t>CD 47</t>
  </si>
  <si>
    <t>18-Nov
6:02 PM</t>
  </si>
  <si>
    <t>21-Nov
1:37 PM</t>
  </si>
  <si>
    <t>22-Nov
4:51 PM</t>
  </si>
  <si>
    <t>28-Nov
3:06 PM</t>
  </si>
  <si>
    <t>29-Nov
7:50 PM</t>
  </si>
  <si>
    <t>30-Nov
4:50 PM</t>
  </si>
  <si>
    <t>02-Dec
6:22 PM</t>
  </si>
  <si>
    <t xml:space="preserve">Katie Porter (D) Votes </t>
  </si>
  <si>
    <t xml:space="preserve">Scott Baugh (R) Votes </t>
  </si>
  <si>
    <t>https://ocvote.gov/results/whats-left-to-count/total-ballots-left-to-count</t>
  </si>
  <si>
    <r>
      <rPr>
        <b/>
        <sz val="11"/>
        <color theme="1"/>
        <rFont val="Calibri"/>
      </rPr>
      <t>*</t>
    </r>
    <r>
      <rPr>
        <sz val="11"/>
        <color theme="1"/>
        <rFont val="Calibri"/>
      </rPr>
      <t xml:space="preserve"> This number reflects ALL the ballots remaining to be counted in each county NOT the number of ballots remaining to be counted in just this political district.</t>
    </r>
  </si>
  <si>
    <r>
      <rPr>
        <b/>
        <sz val="11"/>
        <color theme="1"/>
        <rFont val="Calibri"/>
      </rPr>
      <t xml:space="preserve">The Associated Press called this race for Katie Porter on 11/17/22: </t>
    </r>
    <r>
      <rPr>
        <b/>
        <u/>
        <sz val="11"/>
        <color rgb="FF1155CC"/>
        <rFont val="Calibri"/>
      </rPr>
      <t>https://apnews.com/article/2022-midterm-elections-california-cd03ac6217b63f76c5a954961bf0fbf2</t>
    </r>
  </si>
  <si>
    <r>
      <rPr>
        <b/>
        <sz val="11"/>
        <rFont val="Calibri"/>
      </rPr>
      <t xml:space="preserve">Orange County certified their results on 12/02/22: </t>
    </r>
    <r>
      <rPr>
        <b/>
        <u/>
        <sz val="11"/>
        <color rgb="FF1155CC"/>
        <rFont val="Calibri"/>
      </rPr>
      <t>https://ocvote.gov/results/current-election-results</t>
    </r>
  </si>
  <si>
    <t>CD 49</t>
  </si>
  <si>
    <t>18-Nov
6:04 PM</t>
  </si>
  <si>
    <t>21-Nov
1:38 PM</t>
  </si>
  <si>
    <t>22-Nov
4:52 PM</t>
  </si>
  <si>
    <t>28-Nov
3:07 PM</t>
  </si>
  <si>
    <t>29-Nov
7:54 PM</t>
  </si>
  <si>
    <t>30-Nov
4:52 PM</t>
  </si>
  <si>
    <t>02-Dec
6:23 PM</t>
  </si>
  <si>
    <t>06-Dec
1:59 PM</t>
  </si>
  <si>
    <t xml:space="preserve">Mike Levin (D) Votes </t>
  </si>
  <si>
    <t xml:space="preserve">Brian Maryott (R) Votes </t>
  </si>
  <si>
    <t>San Diego</t>
  </si>
  <si>
    <t>7,000</t>
  </si>
  <si>
    <r>
      <rPr>
        <sz val="11"/>
        <color rgb="FF000000"/>
        <rFont val="Calibri"/>
      </rPr>
      <t xml:space="preserve">San Diego: </t>
    </r>
    <r>
      <rPr>
        <u/>
        <sz val="11"/>
        <color rgb="FF1155CC"/>
        <rFont val="Calibri"/>
      </rPr>
      <t>https://www.livevoterturnout.com/ENR/sandiegocaenr/16/en/Index_16.html</t>
    </r>
    <r>
      <rPr>
        <sz val="11"/>
        <color rgb="FF000000"/>
        <rFont val="Calibri"/>
      </rPr>
      <t xml:space="preserve">
Orange: </t>
    </r>
    <r>
      <rPr>
        <u/>
        <sz val="11"/>
        <color rgb="FF1155CC"/>
        <rFont val="Calibri"/>
      </rPr>
      <t>https://ocvote.gov/results/whats-left-to-count/total-ballots-left-to-count</t>
    </r>
    <r>
      <rPr>
        <sz val="11"/>
        <color rgb="FF000000"/>
        <rFont val="Calibri"/>
      </rPr>
      <t xml:space="preserve">
</t>
    </r>
  </si>
  <si>
    <r>
      <rPr>
        <b/>
        <sz val="11"/>
        <color theme="1"/>
        <rFont val="Calibri"/>
      </rPr>
      <t>*</t>
    </r>
    <r>
      <rPr>
        <sz val="11"/>
        <color theme="1"/>
        <rFont val="Calibri"/>
      </rPr>
      <t xml:space="preserve"> This number reflects ALL the ballots remaining to be counted in each county NOT the number of ballots remaining to be counted in just this political district.</t>
    </r>
  </si>
  <si>
    <r>
      <rPr>
        <b/>
        <sz val="11"/>
        <rFont val="Calibri"/>
      </rPr>
      <t xml:space="preserve">The Associated Press called this race for Mike Levin on 11/16/22: </t>
    </r>
    <r>
      <rPr>
        <b/>
        <u/>
        <sz val="11"/>
        <color rgb="FF1155CC"/>
        <rFont val="Calibri"/>
      </rPr>
      <t>https://apnews.com/article/california-congress-government-and-politics-11dca51226784861b30397d7fa199053</t>
    </r>
  </si>
  <si>
    <r>
      <rPr>
        <b/>
        <sz val="11"/>
        <rFont val="Calibri"/>
      </rPr>
      <t xml:space="preserve">Orange County certified their results on 12/02/22: </t>
    </r>
    <r>
      <rPr>
        <b/>
        <u/>
        <sz val="11"/>
        <color rgb="FF1155CC"/>
        <rFont val="Calibri"/>
      </rPr>
      <t>https://ocvote.gov/results/current-election-results</t>
    </r>
  </si>
  <si>
    <r>
      <rPr>
        <b/>
        <sz val="11"/>
        <rFont val="Calibri"/>
      </rPr>
      <t xml:space="preserve">San Diego County certified their results on 12/08/22: </t>
    </r>
    <r>
      <rPr>
        <b/>
        <u/>
        <sz val="11"/>
        <color rgb="FF1155CC"/>
        <rFont val="Calibri"/>
      </rPr>
      <t>https://www.livevoterturnout.com/ENR/sandiegocaenr/16/en/Index_16.html</t>
    </r>
  </si>
  <si>
    <t>SD-08</t>
  </si>
  <si>
    <t>18-Nov
6:08 PM</t>
  </si>
  <si>
    <t>21-Nov
1:39 PM</t>
  </si>
  <si>
    <t>22-Nov
4:53 PM</t>
  </si>
  <si>
    <t>28-Nov
3:08 PM</t>
  </si>
  <si>
    <t>29-Nov
7:56 PM</t>
  </si>
  <si>
    <t>30-Nov
4:53 PM</t>
  </si>
  <si>
    <t>02-Dec
6:24 PM</t>
  </si>
  <si>
    <t>06-Dec
2:00 PM</t>
  </si>
  <si>
    <t xml:space="preserve">Angelique Ashby (D) Votes </t>
  </si>
  <si>
    <t xml:space="preserve">Dave Jones (D) Votes </t>
  </si>
  <si>
    <t>https://results.saccounty.gov/Default.aspx</t>
  </si>
  <si>
    <r>
      <rPr>
        <b/>
        <sz val="11"/>
        <color theme="1"/>
        <rFont val="Calibri"/>
      </rPr>
      <t>*</t>
    </r>
    <r>
      <rPr>
        <sz val="11"/>
        <color theme="1"/>
        <rFont val="Calibri"/>
      </rPr>
      <t xml:space="preserve"> This number reflects ALL the ballots remaining to be counted in each county NOT the number of ballots remaining to be counted in just this political district.</t>
    </r>
  </si>
  <si>
    <r>
      <rPr>
        <b/>
        <sz val="11"/>
        <rFont val="Calibri"/>
      </rPr>
      <t xml:space="preserve">Dave Jones conceded on 11/29/22: </t>
    </r>
    <r>
      <rPr>
        <b/>
        <u/>
        <sz val="11"/>
        <color rgb="FF1155CC"/>
        <rFont val="Calibri"/>
      </rPr>
      <t>https://www.cbsnews.com/sacramento/news/dave-jones-concedes-to-angelique-ashby-for-state-sen-district-8-seat/</t>
    </r>
  </si>
  <si>
    <r>
      <rPr>
        <b/>
        <sz val="11"/>
        <rFont val="Calibri"/>
      </rPr>
      <t xml:space="preserve">Sacramento County ceritfied their results on 12/07/22: </t>
    </r>
    <r>
      <rPr>
        <b/>
        <u/>
        <sz val="11"/>
        <color rgb="FF1155CC"/>
        <rFont val="Calibri"/>
      </rPr>
      <t>https://elections.saccounty.gov/ElectionInformation/Documents/2022-November-General/Reports/12072022.pdf</t>
    </r>
  </si>
  <si>
    <t>SD-16</t>
  </si>
  <si>
    <t xml:space="preserve">28-Nov
</t>
  </si>
  <si>
    <t>28-Nov
3:09 PM</t>
  </si>
  <si>
    <t>29-Nov
8:00 PM</t>
  </si>
  <si>
    <t>30-Nov
4:54 PM</t>
  </si>
  <si>
    <t>02-Dec
6:30 PM</t>
  </si>
  <si>
    <t>06-Dec
2:02 PM</t>
  </si>
  <si>
    <t xml:space="preserve">Melissa Hurtado (D) Votes </t>
  </si>
  <si>
    <t xml:space="preserve">	David Shepard (R) Votes </t>
  </si>
  <si>
    <r>
      <rPr>
        <sz val="11"/>
        <rFont val="Calibri"/>
      </rPr>
      <t xml:space="preserve">Fresno, Kern and Tulare: </t>
    </r>
    <r>
      <rPr>
        <u/>
        <sz val="11"/>
        <color rgb="FF1155CC"/>
        <rFont val="Calibri"/>
      </rPr>
      <t xml:space="preserve">https://elections.cdn.sos.ca.gov/statewide-elections/2022-general/unprocessed-ballots-report.pdf </t>
    </r>
    <r>
      <rPr>
        <sz val="11"/>
        <rFont val="Calibri"/>
      </rPr>
      <t xml:space="preserve">
Kings: </t>
    </r>
    <r>
      <rPr>
        <u/>
        <sz val="11"/>
        <color rgb="FF1155CC"/>
        <rFont val="Calibri"/>
      </rPr>
      <t>https://www.countyofkings.com/departments/administration/elections/election-information/election-results</t>
    </r>
  </si>
  <si>
    <r>
      <rPr>
        <b/>
        <sz val="11"/>
        <color theme="1"/>
        <rFont val="Calibri"/>
      </rPr>
      <t>*</t>
    </r>
    <r>
      <rPr>
        <sz val="11"/>
        <color theme="1"/>
        <rFont val="Calibri"/>
      </rPr>
      <t xml:space="preserve"> This number reflects ALL the ballots remaining to be counted in each county NOT the number of ballots remaining to be counted in just this political district.</t>
    </r>
  </si>
  <si>
    <r>
      <rPr>
        <b/>
        <sz val="11"/>
        <rFont val="Calibri"/>
      </rPr>
      <t xml:space="preserve">Kings County certified their election results on 11/29/22: </t>
    </r>
    <r>
      <rPr>
        <b/>
        <u/>
        <sz val="11"/>
        <color rgb="FF1155CC"/>
        <rFont val="Calibri"/>
      </rPr>
      <t>https://www.countyofkings.com/home/showpublisheddocument/30296</t>
    </r>
  </si>
  <si>
    <r>
      <rPr>
        <b/>
        <sz val="11"/>
        <rFont val="Calibri"/>
      </rPr>
      <t xml:space="preserve">Tulare County certified their election results on 11/30/22: </t>
    </r>
    <r>
      <rPr>
        <b/>
        <u/>
        <sz val="11"/>
        <color rgb="FF1155CC"/>
        <rFont val="Calibri"/>
      </rPr>
      <t>https://tularecoelections.org/elections/registrar-of-voters/current-election-information/november-8-2022-general-election-elecciones-generales-del-8-de-noviembre-de-2022/statement-of-vote/</t>
    </r>
  </si>
  <si>
    <r>
      <rPr>
        <b/>
        <sz val="11"/>
        <rFont val="Calibri"/>
      </rPr>
      <t xml:space="preserve">Kern County certified their results on 12/07/22: </t>
    </r>
    <r>
      <rPr>
        <b/>
        <u/>
        <sz val="11"/>
        <color rgb="FF1155CC"/>
        <rFont val="Calibri"/>
      </rPr>
      <t>https://kernvote.com/ElectionInformation/Results/?ID=117</t>
    </r>
  </si>
  <si>
    <r>
      <rPr>
        <b/>
        <sz val="11"/>
        <rFont val="Calibri"/>
      </rPr>
      <t xml:space="preserve">Fresno Country certified their results on 12/08/22: </t>
    </r>
    <r>
      <rPr>
        <b/>
        <u/>
        <sz val="11"/>
        <color rgb="FF1155CC"/>
        <rFont val="Calibri"/>
      </rPr>
      <t>https://www.co.fresno.ca.us/departments/county-clerk-registrar-of-voters/election-information/election-results/results-for-november-8-2022-statewide-general-election</t>
    </r>
  </si>
  <si>
    <r>
      <rPr>
        <b/>
        <sz val="11"/>
        <rFont val="Calibri"/>
      </rPr>
      <t xml:space="preserve">There will be a recount beginning on 12/21/22: </t>
    </r>
    <r>
      <rPr>
        <b/>
        <u/>
        <sz val="11"/>
        <color rgb="FF1155CC"/>
        <rFont val="Calibri"/>
      </rPr>
      <t xml:space="preserve">https://www.bakersfield.com/news/kern-registrar-of-voters-announces-16th-district-senate-recount-to-start-wednesday/article_210cb1e0-8012-11ed-9fb2-8f1d314480a5.html </t>
    </r>
  </si>
  <si>
    <t>AD 07</t>
  </si>
  <si>
    <t>18-Nov
6:13 PM</t>
  </si>
  <si>
    <t>21-Nov
1:41 PM</t>
  </si>
  <si>
    <t>22-Nov
4:54 PM</t>
  </si>
  <si>
    <t>28-Nov
3:10 PM</t>
  </si>
  <si>
    <t>29-Nov
8:02 PM</t>
  </si>
  <si>
    <t>30-Nov
4:55 PM</t>
  </si>
  <si>
    <t>02-Dec
6:43 PM</t>
  </si>
  <si>
    <t xml:space="preserve">Josh Hoover (R) Votes </t>
  </si>
  <si>
    <t xml:space="preserve">Ken Cooley (D) Votes </t>
  </si>
  <si>
    <r>
      <rPr>
        <b/>
        <sz val="11"/>
        <color theme="1"/>
        <rFont val="Calibri"/>
      </rPr>
      <t>*</t>
    </r>
    <r>
      <rPr>
        <sz val="11"/>
        <color theme="1"/>
        <rFont val="Calibri"/>
      </rPr>
      <t xml:space="preserve"> This number reflects ALL the ballots remaining to be counted in each county NOT the number of ballots remaining to be counted in just this political district.</t>
    </r>
  </si>
  <si>
    <r>
      <rPr>
        <b/>
        <sz val="11"/>
        <rFont val="Calibri"/>
      </rPr>
      <t xml:space="preserve">Sacramento County ceritfied their results on 12/07/22: </t>
    </r>
    <r>
      <rPr>
        <b/>
        <u/>
        <sz val="11"/>
        <color rgb="FF1155CC"/>
        <rFont val="Calibri"/>
      </rPr>
      <t>https://elections.saccounty.gov/ElectionInformation/Documents/2022-November-General/Reports/12072022.pdf</t>
    </r>
  </si>
  <si>
    <t>AD 40</t>
  </si>
  <si>
    <t>18-Nov
6:16 PM</t>
  </si>
  <si>
    <t>22-Nov
4:55 PM</t>
  </si>
  <si>
    <t>28-Nov
3:11 PM</t>
  </si>
  <si>
    <t>29-Nov
8:04 PM</t>
  </si>
  <si>
    <t>30-Nov
4:56 PM</t>
  </si>
  <si>
    <t>02-Dec
6:44 PM</t>
  </si>
  <si>
    <t xml:space="preserve">Pilar Schiavo (D) Votes </t>
  </si>
  <si>
    <t xml:space="preserve">Suzette Martinez Valladares (R) Votes </t>
  </si>
  <si>
    <t xml:space="preserve">https://elections.cdn.sos.ca.gov/statewide-elections/2022-general/unprocessed-ballots-report.pdf                                                                                                                       </t>
  </si>
  <si>
    <r>
      <rPr>
        <b/>
        <sz val="11"/>
        <color theme="1"/>
        <rFont val="Calibri"/>
      </rPr>
      <t>*</t>
    </r>
    <r>
      <rPr>
        <sz val="11"/>
        <color theme="1"/>
        <rFont val="Calibri"/>
      </rPr>
      <t xml:space="preserve"> This number reflects ALL the ballots remaining to be counted in each county NOT the number of ballots remaining to be counted in just this political district.</t>
    </r>
  </si>
  <si>
    <r>
      <rPr>
        <b/>
        <sz val="11"/>
        <rFont val="Calibri"/>
      </rPr>
      <t xml:space="preserve">Los Angeles County Certified their results on 12/05/22: </t>
    </r>
    <r>
      <rPr>
        <b/>
        <u/>
        <sz val="11"/>
        <color rgb="FF1155CC"/>
        <rFont val="Calibri"/>
      </rPr>
      <t>https://www.lavote.gov/docs/rrcc/news-releases/11082022_certified-results.pdf</t>
    </r>
  </si>
  <si>
    <t>AD 47</t>
  </si>
  <si>
    <t>18-Nov
6:18 PM</t>
  </si>
  <si>
    <t>21-Nov
1:42 PM</t>
  </si>
  <si>
    <t>22-Nov 
4:58 PM</t>
  </si>
  <si>
    <t>28-Nov
3:12 PM</t>
  </si>
  <si>
    <t>29-Nov
8:10 PM</t>
  </si>
  <si>
    <t>30-Nov
4:59 PM</t>
  </si>
  <si>
    <t>02-Dec
6:46 PM</t>
  </si>
  <si>
    <t>06-Dec
2:03 PM</t>
  </si>
  <si>
    <t xml:space="preserve">Greg Wallis (R) Votes </t>
  </si>
  <si>
    <t xml:space="preserve">Christy Holstege (D) Votes </t>
  </si>
  <si>
    <t>San Bernardino</t>
  </si>
  <si>
    <r>
      <rPr>
        <sz val="11"/>
        <rFont val="Calibri"/>
      </rPr>
      <t xml:space="preserve">Riverside: </t>
    </r>
    <r>
      <rPr>
        <u/>
        <sz val="11"/>
        <color rgb="FF1155CC"/>
        <rFont val="Calibri"/>
      </rPr>
      <t xml:space="preserve">https://voteinfo.net/
</t>
    </r>
    <r>
      <rPr>
        <sz val="11"/>
        <rFont val="Calibri"/>
      </rPr>
      <t xml:space="preserve">San Bernardino: </t>
    </r>
    <r>
      <rPr>
        <u/>
        <sz val="11"/>
        <color rgb="FF1155CC"/>
        <rFont val="Calibri"/>
      </rPr>
      <t>https://sbcountyelections.com/elections/2022/1108/resultschedule/</t>
    </r>
  </si>
  <si>
    <r>
      <rPr>
        <b/>
        <sz val="11"/>
        <color theme="1"/>
        <rFont val="Calibri"/>
      </rPr>
      <t>*</t>
    </r>
    <r>
      <rPr>
        <sz val="11"/>
        <color theme="1"/>
        <rFont val="Calibri"/>
      </rPr>
      <t xml:space="preserve"> This number reflects ALL the ballots remaining to be counted in each county NOT the number of ballots remaining to be counted in just this political district.</t>
    </r>
  </si>
  <si>
    <r>
      <rPr>
        <b/>
        <sz val="11"/>
        <rFont val="Calibri"/>
      </rPr>
      <t xml:space="preserve">Riverside County certified their results on 12/01/22: </t>
    </r>
    <r>
      <rPr>
        <b/>
        <u/>
        <sz val="11"/>
        <color rgb="FF1155CC"/>
        <rFont val="Calibri"/>
      </rPr>
      <t>https://voteinfo.net/Elections/20221108/docs/ElectionSummaryReportRPT_mhtml.htm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</si>
</sst>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d\-mmm"/>
    <numFmt numFmtId="165" formatCode="dd\-mmm"/>
    <numFmt numFmtId="166" formatCode="0.0%"/>
    <numFmt numFmtId="167" formatCode="0.0000%"/>
    <numFmt numFmtId="168" formatCode="0.00000%"/>
    <numFmt numFmtId="169" formatCode="0.000%"/>
  </numFmts>
  <fonts count="2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222222"/>
      <name val="Calibri"/>
      <scheme val="minor"/>
    </font>
    <font>
      <sz val="11"/>
      <color rgb="FF0563C1"/>
      <name val="Calibri"/>
    </font>
    <font>
      <b/>
      <u/>
      <sz val="11"/>
      <color rgb="FF0000FF"/>
      <name val="Calibri"/>
    </font>
    <font>
      <u/>
      <sz val="11"/>
      <color rgb="FF0563C1"/>
      <name val="Calibri"/>
    </font>
    <font>
      <u/>
      <sz val="11"/>
      <color rgb="FF0000FF"/>
      <name val="Calibri"/>
    </font>
    <font>
      <sz val="11"/>
      <color theme="10"/>
      <name val="Calibri"/>
    </font>
    <font>
      <b/>
      <sz val="11"/>
      <color rgb="FF00000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b/>
      <u/>
      <sz val="11"/>
      <color theme="1"/>
      <name val="Calibri"/>
    </font>
    <font>
      <sz val="11"/>
      <color rgb="FF000000"/>
      <name val="Calibri"/>
    </font>
    <font>
      <u/>
      <sz val="11"/>
      <color rgb="FF0000FF"/>
      <name val="Calibri"/>
    </font>
    <font>
      <b/>
      <u/>
      <sz val="11"/>
      <color rgb="FF0000FF"/>
      <name val="Calibri"/>
    </font>
    <font>
      <sz val="11"/>
      <color rgb="FF222222"/>
      <name val="Calibri"/>
      <scheme val="minor"/>
    </font>
    <font>
      <u/>
      <sz val="11"/>
      <color rgb="FF0563C1"/>
      <name val="Calibri"/>
    </font>
    <font>
      <sz val="11"/>
      <name val="Calibri"/>
    </font>
    <font>
      <u/>
      <sz val="11"/>
      <color rgb="FF1155CC"/>
      <name val="Calibri"/>
    </font>
    <font>
      <b/>
      <sz val="11"/>
      <name val="Calibri"/>
    </font>
    <font>
      <b/>
      <u/>
      <sz val="11"/>
      <color rgb="FF1155CC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horizontal="center" vertical="center" wrapText="1"/>
    </xf>
    <xf numFmtId="16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wrapText="1"/>
    </xf>
    <xf numFmtId="16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3" fontId="1" fillId="2" borderId="0" xfId="0" applyNumberFormat="1" applyFont="1" applyFill="1" applyAlignment="1">
      <alignment horizontal="center" wrapText="1"/>
    </xf>
    <xf numFmtId="3" fontId="4" fillId="2" borderId="0" xfId="0" applyNumberFormat="1" applyFont="1" applyFill="1" applyAlignment="1">
      <alignment wrapText="1"/>
    </xf>
    <xf numFmtId="3" fontId="5" fillId="2" borderId="0" xfId="0" applyNumberFormat="1" applyFont="1" applyFill="1" applyAlignment="1">
      <alignment wrapText="1"/>
    </xf>
    <xf numFmtId="3" fontId="5" fillId="2" borderId="0" xfId="0" applyNumberFormat="1" applyFont="1" applyFill="1"/>
    <xf numFmtId="0" fontId="2" fillId="3" borderId="1" xfId="0" applyFont="1" applyFill="1" applyBorder="1" applyAlignment="1">
      <alignment horizontal="center" wrapText="1"/>
    </xf>
    <xf numFmtId="3" fontId="1" fillId="3" borderId="0" xfId="0" applyNumberFormat="1" applyFont="1" applyFill="1" applyAlignment="1">
      <alignment horizontal="center" wrapText="1"/>
    </xf>
    <xf numFmtId="3" fontId="4" fillId="3" borderId="0" xfId="0" applyNumberFormat="1" applyFont="1" applyFill="1" applyAlignment="1">
      <alignment wrapText="1"/>
    </xf>
    <xf numFmtId="3" fontId="5" fillId="3" borderId="0" xfId="0" applyNumberFormat="1" applyFont="1" applyFill="1" applyAlignment="1">
      <alignment wrapText="1"/>
    </xf>
    <xf numFmtId="3" fontId="6" fillId="3" borderId="0" xfId="0" applyNumberFormat="1" applyFont="1" applyFill="1" applyAlignment="1">
      <alignment horizontal="right" wrapText="1"/>
    </xf>
    <xf numFmtId="3" fontId="5" fillId="3" borderId="0" xfId="0" applyNumberFormat="1" applyFont="1" applyFill="1"/>
    <xf numFmtId="0" fontId="2" fillId="0" borderId="0" xfId="0" applyFont="1" applyAlignment="1">
      <alignment horizontal="center" wrapText="1"/>
    </xf>
    <xf numFmtId="3" fontId="1" fillId="0" borderId="0" xfId="0" applyNumberFormat="1" applyFont="1" applyAlignment="1">
      <alignment horizontal="right" wrapText="1"/>
    </xf>
    <xf numFmtId="3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 wrapText="1"/>
    </xf>
    <xf numFmtId="3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right" wrapText="1"/>
    </xf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3" fontId="5" fillId="0" borderId="0" xfId="0" applyNumberFormat="1" applyFont="1" applyAlignment="1">
      <alignment wrapText="1"/>
    </xf>
    <xf numFmtId="3" fontId="4" fillId="0" borderId="0" xfId="0" applyNumberFormat="1" applyFont="1" applyAlignment="1">
      <alignment wrapText="1"/>
    </xf>
    <xf numFmtId="3" fontId="5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3" fillId="0" borderId="0" xfId="0" applyFont="1"/>
    <xf numFmtId="16" fontId="3" fillId="0" borderId="0" xfId="0" applyNumberFormat="1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2" borderId="0" xfId="0" applyFont="1" applyFill="1"/>
    <xf numFmtId="0" fontId="5" fillId="3" borderId="0" xfId="0" applyFont="1" applyFill="1"/>
    <xf numFmtId="0" fontId="7" fillId="0" borderId="0" xfId="0" applyFont="1" applyAlignment="1">
      <alignment horizontal="left" vertical="top" wrapText="1"/>
    </xf>
    <xf numFmtId="9" fontId="5" fillId="0" borderId="0" xfId="0" applyNumberFormat="1" applyFont="1"/>
    <xf numFmtId="0" fontId="1" fillId="0" borderId="0" xfId="0" applyFont="1" applyAlignment="1">
      <alignment horizontal="right"/>
    </xf>
    <xf numFmtId="3" fontId="1" fillId="0" borderId="0" xfId="0" applyNumberFormat="1" applyFont="1"/>
    <xf numFmtId="16" fontId="2" fillId="0" borderId="0" xfId="0" applyNumberFormat="1" applyFont="1" applyAlignment="1">
      <alignment horizontal="right" vertical="center" wrapText="1"/>
    </xf>
    <xf numFmtId="3" fontId="1" fillId="2" borderId="0" xfId="0" applyNumberFormat="1" applyFont="1" applyFill="1" applyAlignment="1">
      <alignment horizontal="right" wrapText="1"/>
    </xf>
    <xf numFmtId="3" fontId="1" fillId="3" borderId="0" xfId="0" applyNumberFormat="1" applyFont="1" applyFill="1" applyAlignment="1">
      <alignment horizontal="right" wrapText="1"/>
    </xf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 wrapText="1"/>
    </xf>
    <xf numFmtId="16" fontId="2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3" fontId="1" fillId="4" borderId="0" xfId="0" applyNumberFormat="1" applyFont="1" applyFill="1" applyAlignment="1">
      <alignment horizontal="center" wrapText="1"/>
    </xf>
    <xf numFmtId="3" fontId="4" fillId="4" borderId="0" xfId="0" applyNumberFormat="1" applyFont="1" applyFill="1" applyAlignment="1">
      <alignment wrapText="1"/>
    </xf>
    <xf numFmtId="3" fontId="5" fillId="4" borderId="0" xfId="0" applyNumberFormat="1" applyFont="1" applyFill="1" applyAlignment="1">
      <alignment wrapText="1"/>
    </xf>
    <xf numFmtId="0" fontId="5" fillId="4" borderId="0" xfId="0" applyFont="1" applyFill="1"/>
    <xf numFmtId="0" fontId="2" fillId="5" borderId="1" xfId="0" applyFont="1" applyFill="1" applyBorder="1" applyAlignment="1">
      <alignment horizontal="center" wrapText="1"/>
    </xf>
    <xf numFmtId="3" fontId="1" fillId="5" borderId="0" xfId="0" applyNumberFormat="1" applyFont="1" applyFill="1" applyAlignment="1">
      <alignment horizontal="center" wrapText="1"/>
    </xf>
    <xf numFmtId="3" fontId="4" fillId="5" borderId="0" xfId="0" applyNumberFormat="1" applyFont="1" applyFill="1" applyAlignment="1">
      <alignment wrapText="1"/>
    </xf>
    <xf numFmtId="3" fontId="5" fillId="5" borderId="0" xfId="0" applyNumberFormat="1" applyFont="1" applyFill="1" applyAlignment="1">
      <alignment wrapText="1"/>
    </xf>
    <xf numFmtId="0" fontId="5" fillId="5" borderId="0" xfId="0" applyFont="1" applyFill="1"/>
    <xf numFmtId="0" fontId="11" fillId="0" borderId="0" xfId="0" applyFont="1" applyAlignment="1">
      <alignment horizontal="left" vertical="top" wrapText="1"/>
    </xf>
    <xf numFmtId="49" fontId="5" fillId="0" borderId="0" xfId="0" applyNumberFormat="1" applyFont="1" applyAlignment="1">
      <alignment horizontal="right" wrapText="1"/>
    </xf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5" fillId="0" borderId="0" xfId="0" applyFont="1"/>
    <xf numFmtId="3" fontId="1" fillId="4" borderId="0" xfId="0" applyNumberFormat="1" applyFont="1" applyFill="1" applyAlignment="1">
      <alignment horizontal="right" wrapText="1"/>
    </xf>
    <xf numFmtId="0" fontId="3" fillId="5" borderId="0" xfId="0" applyFont="1" applyFill="1" applyAlignment="1">
      <alignment horizontal="center" wrapText="1"/>
    </xf>
    <xf numFmtId="3" fontId="4" fillId="0" borderId="0" xfId="0" applyNumberFormat="1" applyFont="1"/>
    <xf numFmtId="49" fontId="1" fillId="0" borderId="0" xfId="0" applyNumberFormat="1" applyFont="1" applyAlignment="1">
      <alignment horizontal="left" vertical="center" wrapText="1"/>
    </xf>
    <xf numFmtId="0" fontId="3" fillId="2" borderId="0" xfId="0" applyFont="1" applyFill="1" applyAlignment="1">
      <alignment horizontal="center" wrapText="1"/>
    </xf>
    <xf numFmtId="167" fontId="1" fillId="0" borderId="0" xfId="0" applyNumberFormat="1" applyFont="1" applyAlignment="1">
      <alignment horizontal="right" wrapText="1"/>
    </xf>
    <xf numFmtId="165" fontId="3" fillId="0" borderId="0" xfId="0" applyNumberFormat="1" applyFont="1" applyAlignment="1">
      <alignment vertical="center" wrapText="1"/>
    </xf>
    <xf numFmtId="3" fontId="19" fillId="3" borderId="0" xfId="0" applyNumberFormat="1" applyFont="1" applyFill="1" applyAlignment="1">
      <alignment horizontal="right" wrapText="1"/>
    </xf>
    <xf numFmtId="168" fontId="1" fillId="0" borderId="0" xfId="0" applyNumberFormat="1" applyFont="1" applyAlignment="1">
      <alignment horizontal="right" wrapText="1"/>
    </xf>
    <xf numFmtId="49" fontId="20" fillId="0" borderId="0" xfId="0" applyNumberFormat="1" applyFont="1" applyAlignment="1">
      <alignment horizontal="left" vertical="center" wrapText="1"/>
    </xf>
    <xf numFmtId="0" fontId="2" fillId="2" borderId="0" xfId="0" applyFont="1" applyFill="1" applyAlignment="1">
      <alignment horizontal="center" wrapText="1"/>
    </xf>
    <xf numFmtId="169" fontId="1" fillId="0" borderId="0" xfId="0" applyNumberFormat="1" applyFont="1" applyAlignment="1">
      <alignment horizontal="right" wrapText="1"/>
    </xf>
    <xf numFmtId="0" fontId="8" fillId="0" borderId="0" xfId="0" applyFont="1"/>
    <xf numFmtId="0" fontId="0" fillId="0" borderId="0" xfId="0"/>
    <xf numFmtId="49" fontId="7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wrapText="1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2" fillId="0" borderId="0" xfId="0" applyFont="1"/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 vertical="top" wrapText="1"/>
    </xf>
    <xf numFmtId="49" fontId="17" fillId="0" borderId="0" xfId="0" applyNumberFormat="1" applyFont="1" applyAlignment="1">
      <alignment horizontal="left" vertical="center" wrapText="1"/>
    </xf>
    <xf numFmtId="0" fontId="18" fillId="0" borderId="0" xfId="0" applyFont="1"/>
    <xf numFmtId="49" fontId="20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lacercountyelections.gov/election-night-results/" TargetMode="External"/><Relationship Id="rId3" Type="http://schemas.openxmlformats.org/officeDocument/2006/relationships/hyperlink" Target="https://drive.google.com/file/d/1k69f4DwCLxh9M06Q0PlYQ9Y3p3aDLYEs/view" TargetMode="External"/><Relationship Id="rId7" Type="http://schemas.openxmlformats.org/officeDocument/2006/relationships/hyperlink" Target="https://www.nevadacountyca.gov/DocumentCenter/View/46317/Cumulative-Results---With-Judge-Names-12-2-2022-03-12-52-PM" TargetMode="External"/><Relationship Id="rId2" Type="http://schemas.openxmlformats.org/officeDocument/2006/relationships/hyperlink" Target="https://apnews.com/article/2022-midterm-elections-california-veterans-sacramento-gavin-newsom-868cf922b642790bb63217d370070d50" TargetMode="External"/><Relationship Id="rId1" Type="http://schemas.openxmlformats.org/officeDocument/2006/relationships/hyperlink" Target="https://elections.cdn.sos.ca.gov/statewide-elections/2022-general/unprocessed-ballots-report.pdf" TargetMode="External"/><Relationship Id="rId6" Type="http://schemas.openxmlformats.org/officeDocument/2006/relationships/hyperlink" Target="https://www.edcgov.us/Government/Elections/Pages/elections_main_info.aspx" TargetMode="External"/><Relationship Id="rId5" Type="http://schemas.openxmlformats.org/officeDocument/2006/relationships/hyperlink" Target="https://files4.revize.com/yubaca/Yuba%20County/Elections/Current%20Election/Results/Nov22/Nov2022_Final_Results.pdf" TargetMode="External"/><Relationship Id="rId10" Type="http://schemas.openxmlformats.org/officeDocument/2006/relationships/hyperlink" Target="https://www.sierracounty.ca.gov/DocumentCenter/View/7679/Statement-of-Vote" TargetMode="External"/><Relationship Id="rId4" Type="http://schemas.openxmlformats.org/officeDocument/2006/relationships/hyperlink" Target="https://www.monocounty.ca.gov/sites/default/files/fileattachments/elections/page/32644/mono_canvass_for_website.pdf" TargetMode="External"/><Relationship Id="rId9" Type="http://schemas.openxmlformats.org/officeDocument/2006/relationships/hyperlink" Target="https://elections.saccounty.gov/ElectionInformation/Documents/2022-November-General/Reports/12072022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esults.enr.clarityelections.com/CA/Merced/116138/web.307039/" TargetMode="External"/><Relationship Id="rId7" Type="http://schemas.openxmlformats.org/officeDocument/2006/relationships/hyperlink" Target="https://www.co.fresno.ca.us/departments/county-clerk-registrar-of-voters/election-information/election-results/results-for-november-8-2022-statewide-general-election" TargetMode="External"/><Relationship Id="rId2" Type="http://schemas.openxmlformats.org/officeDocument/2006/relationships/hyperlink" Target="https://apnews.com/article/2022-midterm-elections-california-race-and-ethnicity-congress-government-politics-a75c8a9b693ce9a39cce7be09eb124dc" TargetMode="External"/><Relationship Id="rId1" Type="http://schemas.openxmlformats.org/officeDocument/2006/relationships/hyperlink" Target="https://votemadera.com/consolidated-general-election-november-8-2022/" TargetMode="External"/><Relationship Id="rId6" Type="http://schemas.openxmlformats.org/officeDocument/2006/relationships/hyperlink" Target="https://www.livevoterturnout.com/ENR/sanjoaquincaenr/14/en/Index_14.html" TargetMode="External"/><Relationship Id="rId5" Type="http://schemas.openxmlformats.org/officeDocument/2006/relationships/hyperlink" Target="https://stanvote.com/pdf/past-results/11-08-2022-sov.pdf" TargetMode="External"/><Relationship Id="rId4" Type="http://schemas.openxmlformats.org/officeDocument/2006/relationships/hyperlink" Target="https://results.enr.clarityelections.com/CA/Madera/116174/web.307039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untyofkings.com/home/showpublisheddocument/30296" TargetMode="External"/><Relationship Id="rId2" Type="http://schemas.openxmlformats.org/officeDocument/2006/relationships/hyperlink" Target="https://apnews.com/article/california-donald-trump-voter-registration-david-valadao-dan-newhouse-216d0f43fe68a22222f175d2a8a94daa" TargetMode="External"/><Relationship Id="rId1" Type="http://schemas.openxmlformats.org/officeDocument/2006/relationships/hyperlink" Target="https://elections.cdn.sos.ca.gov/statewide-elections/2022-general/unprocessed-ballots-report.pdf" TargetMode="External"/><Relationship Id="rId5" Type="http://schemas.openxmlformats.org/officeDocument/2006/relationships/hyperlink" Target="https://kernvote.com/ElectionInformation/Results/?ID=117" TargetMode="External"/><Relationship Id="rId4" Type="http://schemas.openxmlformats.org/officeDocument/2006/relationships/hyperlink" Target="https://tularecoelections.org/elections/registrar-of-voters/current-election-information/november-8-2022-general-election-elecciones-generales-del-8-de-noviembre-de-2022/statement-of-vote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avote.gov/docs/rrcc/news-releases/11082022_certified-results.pdf" TargetMode="External"/><Relationship Id="rId2" Type="http://schemas.openxmlformats.org/officeDocument/2006/relationships/hyperlink" Target="https://apnews.com/article/2022-midterm-elections-gop-california-house-win-6f63ce40257c35c25e798a6dc6988af3" TargetMode="External"/><Relationship Id="rId1" Type="http://schemas.openxmlformats.org/officeDocument/2006/relationships/hyperlink" Target="https://elections.cdn.sos.ca.gov/statewide-elections/2022-general/unprocessed-ballots-report.pdf?_ga=2.10446839.37205303.1668445390-624014583.1654701353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avote.gov/docs/rrcc/news-releases/11082022_certified-results.pdf" TargetMode="External"/><Relationship Id="rId2" Type="http://schemas.openxmlformats.org/officeDocument/2006/relationships/hyperlink" Target="https://apnews.com/article/2022-midterm-elections-california-los-angeles-government-and-politics-faa076855197ae17f0fa26a635acb367" TargetMode="External"/><Relationship Id="rId1" Type="http://schemas.openxmlformats.org/officeDocument/2006/relationships/hyperlink" Target="https://elections.cdn.sos.ca.gov/statewide-elections/2022-general/unprocessed-ballots-report.pdf?_ga=2.10446839.37205303.1668445390-624014583.1654701353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voteinfo.net/Elections/20221108/docs/ElectionSummaryReportRPT_mhtml.htm" TargetMode="External"/><Relationship Id="rId2" Type="http://schemas.openxmlformats.org/officeDocument/2006/relationships/hyperlink" Target="https://apnews.com/article/2022-midterm-elections-california-house-elections-gop-382318869531533a47bfada98a9a7efa" TargetMode="External"/><Relationship Id="rId1" Type="http://schemas.openxmlformats.org/officeDocument/2006/relationships/hyperlink" Target="https://voteinfo.net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ocvote.gov/results/current-election-results" TargetMode="External"/><Relationship Id="rId2" Type="http://schemas.openxmlformats.org/officeDocument/2006/relationships/hyperlink" Target="https://apnews.com/article/2022-midterm-elections-california-house-elections-gop-382318869531533a47bfada98a9a7efa" TargetMode="External"/><Relationship Id="rId1" Type="http://schemas.openxmlformats.org/officeDocument/2006/relationships/hyperlink" Target="https://elections.cdn.sos.ca.gov/statewide-elections/2022-general/unprocessed-ballots-report.pdf" TargetMode="External"/><Relationship Id="rId4" Type="http://schemas.openxmlformats.org/officeDocument/2006/relationships/hyperlink" Target="https://www.lavote.gov/docs/rrcc/news-releases/11082022_certified-results.pdf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ocvote.gov/results/current-election-results" TargetMode="External"/><Relationship Id="rId2" Type="http://schemas.openxmlformats.org/officeDocument/2006/relationships/hyperlink" Target="https://apnews.com/article/2022-midterm-elections-california-cd03ac6217b63f76c5a954961bf0fbf2" TargetMode="External"/><Relationship Id="rId1" Type="http://schemas.openxmlformats.org/officeDocument/2006/relationships/hyperlink" Target="https://ocvote.gov/results/whats-left-to-count/total-ballots-left-to-count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ocvote.gov/results/current-election-results" TargetMode="External"/><Relationship Id="rId2" Type="http://schemas.openxmlformats.org/officeDocument/2006/relationships/hyperlink" Target="https://apnews.com/article/california-congress-government-and-politics-11dca51226784861b30397d7fa199053" TargetMode="External"/><Relationship Id="rId1" Type="http://schemas.openxmlformats.org/officeDocument/2006/relationships/hyperlink" Target="https://www.livevoterturnout.com/ENR/sandiegocaenr/16/en/Index_16.html" TargetMode="External"/><Relationship Id="rId4" Type="http://schemas.openxmlformats.org/officeDocument/2006/relationships/hyperlink" Target="https://www.livevoterturnout.com/ENR/sandiegocaenr/16/en/Index_16.html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elections.saccounty.gov/ElectionInformation/Documents/2022-November-General/Reports/12072022.pdf" TargetMode="External"/><Relationship Id="rId2" Type="http://schemas.openxmlformats.org/officeDocument/2006/relationships/hyperlink" Target="https://www.sacbee.com/news/politics-government/capitol-alert/article269370917.html?ac_cid=DM731603&amp;ac_bid=1494391023" TargetMode="External"/><Relationship Id="rId1" Type="http://schemas.openxmlformats.org/officeDocument/2006/relationships/hyperlink" Target="https://results.saccounty.gov/Default.aspx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tularecoelections.org/elections/registrar-of-voters/current-election-information/november-8-2022-general-election-elecciones-generales-del-8-de-noviembre-de-2022/statement-of-vote/" TargetMode="External"/><Relationship Id="rId2" Type="http://schemas.openxmlformats.org/officeDocument/2006/relationships/hyperlink" Target="https://www.countyofkings.com/home/showpublisheddocument/30296" TargetMode="External"/><Relationship Id="rId1" Type="http://schemas.openxmlformats.org/officeDocument/2006/relationships/hyperlink" Target="https://elections.cdn.sos.ca.gov/statewide-elections/2022-general/unprocessed-ballots-report.pdf" TargetMode="External"/><Relationship Id="rId6" Type="http://schemas.openxmlformats.org/officeDocument/2006/relationships/hyperlink" Target="https://www.bakersfield.com/news/kern-registrar-of-voters-announces-16th-district-senate-recount-to-start-wednesday/article_210cb1e0-8012-11ed-9fb2-8f1d314480a5.html" TargetMode="External"/><Relationship Id="rId5" Type="http://schemas.openxmlformats.org/officeDocument/2006/relationships/hyperlink" Target="https://www.co.fresno.ca.us/departments/county-clerk-registrar-of-voters/election-information/election-results/results-for-november-8-2022-statewide-general-election" TargetMode="External"/><Relationship Id="rId4" Type="http://schemas.openxmlformats.org/officeDocument/2006/relationships/hyperlink" Target="https://kernvote.com/ElectionInformation/Results/?ID=117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elections.saccounty.gov/ElectionInformation/Documents/2022-November-General/Reports/12072022.pdf" TargetMode="External"/><Relationship Id="rId1" Type="http://schemas.openxmlformats.org/officeDocument/2006/relationships/hyperlink" Target="https://results.saccounty.gov/Default.aspx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avote.gov/docs/rrcc/news-releases/11082022_certified-results.pdf" TargetMode="External"/><Relationship Id="rId1" Type="http://schemas.openxmlformats.org/officeDocument/2006/relationships/hyperlink" Target="https://elections.cdn.sos.ca.gov/statewide-elections/2022-general/unprocessed-ballots-report.pdf?_ga=2.10446839.37205303.1668445390-624014583.1654701353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voteinfo.net/Elections/20221108/docs/ElectionSummaryReportRPT_mhtml.htm" TargetMode="External"/><Relationship Id="rId1" Type="http://schemas.openxmlformats.org/officeDocument/2006/relationships/hyperlink" Target="https://voteinfo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3"/>
  <sheetViews>
    <sheetView tabSelected="1" workbookViewId="0">
      <selection activeCell="Z13" sqref="Z13"/>
    </sheetView>
  </sheetViews>
  <sheetFormatPr defaultColWidth="14.3984375" defaultRowHeight="15" customHeight="1" x14ac:dyDescent="0.45"/>
  <cols>
    <col min="1" max="1" width="25" customWidth="1"/>
    <col min="2" max="6" width="8.73046875" customWidth="1"/>
    <col min="7" max="7" width="9.1328125" customWidth="1"/>
    <col min="8" max="27" width="8.73046875" customWidth="1"/>
  </cols>
  <sheetData>
    <row r="1" spans="1:27" ht="28.5" x14ac:dyDescent="0.45">
      <c r="A1" s="1" t="s">
        <v>0</v>
      </c>
      <c r="B1" s="2">
        <v>44879</v>
      </c>
      <c r="C1" s="3">
        <v>44880</v>
      </c>
      <c r="D1" s="3">
        <v>44881</v>
      </c>
      <c r="E1" s="3">
        <v>44882</v>
      </c>
      <c r="F1" s="3">
        <v>44883</v>
      </c>
      <c r="G1" s="4" t="s">
        <v>1</v>
      </c>
      <c r="H1" s="5">
        <v>44886</v>
      </c>
      <c r="I1" s="6" t="s">
        <v>2</v>
      </c>
      <c r="J1" s="5">
        <v>44887</v>
      </c>
      <c r="K1" s="6" t="s">
        <v>3</v>
      </c>
      <c r="L1" s="5">
        <v>44888</v>
      </c>
      <c r="M1" s="5">
        <v>44889</v>
      </c>
      <c r="N1" s="5">
        <v>44893</v>
      </c>
      <c r="O1" s="4" t="s">
        <v>4</v>
      </c>
      <c r="P1" s="5">
        <v>44894</v>
      </c>
      <c r="Q1" s="6" t="s">
        <v>5</v>
      </c>
      <c r="R1" s="6" t="s">
        <v>6</v>
      </c>
      <c r="S1" s="7">
        <v>44896</v>
      </c>
      <c r="T1" s="7">
        <v>44897</v>
      </c>
      <c r="U1" s="6" t="s">
        <v>7</v>
      </c>
      <c r="V1" s="7">
        <v>44900</v>
      </c>
      <c r="W1" s="7">
        <v>44901</v>
      </c>
      <c r="X1" s="6" t="s">
        <v>8</v>
      </c>
      <c r="Y1" s="7">
        <v>44902</v>
      </c>
      <c r="Z1" s="7">
        <v>44903</v>
      </c>
      <c r="AA1" s="8"/>
    </row>
    <row r="2" spans="1:27" ht="14.25" x14ac:dyDescent="0.45">
      <c r="A2" s="9" t="s">
        <v>9</v>
      </c>
      <c r="B2" s="10">
        <v>89150</v>
      </c>
      <c r="C2" s="11">
        <v>89725</v>
      </c>
      <c r="D2" s="11">
        <v>96334</v>
      </c>
      <c r="E2" s="12">
        <v>99970</v>
      </c>
      <c r="F2" s="12">
        <v>102427</v>
      </c>
      <c r="G2" s="12">
        <v>120580</v>
      </c>
      <c r="H2" s="12">
        <v>123544</v>
      </c>
      <c r="I2" s="12">
        <v>123561</v>
      </c>
      <c r="J2" s="12">
        <v>124396</v>
      </c>
      <c r="K2" s="12">
        <v>148101</v>
      </c>
      <c r="L2" s="12">
        <v>148103</v>
      </c>
      <c r="M2" s="12">
        <v>156469</v>
      </c>
      <c r="N2" s="12">
        <v>156469</v>
      </c>
      <c r="O2" s="12">
        <v>156469</v>
      </c>
      <c r="P2" s="12">
        <v>156469</v>
      </c>
      <c r="Q2" s="12">
        <v>172347</v>
      </c>
      <c r="R2" s="12">
        <v>178022</v>
      </c>
      <c r="S2" s="12">
        <v>178058</v>
      </c>
      <c r="T2" s="12">
        <v>178065</v>
      </c>
      <c r="U2" s="12">
        <v>178551</v>
      </c>
      <c r="V2" s="12">
        <v>180291</v>
      </c>
      <c r="W2" s="12">
        <v>180291</v>
      </c>
      <c r="X2" s="12">
        <v>180292</v>
      </c>
      <c r="Y2" s="12">
        <v>181256</v>
      </c>
      <c r="Z2" s="12">
        <v>181438</v>
      </c>
      <c r="AA2" s="13"/>
    </row>
    <row r="3" spans="1:27" ht="14.25" x14ac:dyDescent="0.45">
      <c r="A3" s="14" t="s">
        <v>10</v>
      </c>
      <c r="B3" s="15">
        <v>79188</v>
      </c>
      <c r="C3" s="16">
        <v>79595</v>
      </c>
      <c r="D3" s="16">
        <v>85690</v>
      </c>
      <c r="E3" s="17">
        <v>91154</v>
      </c>
      <c r="F3" s="17">
        <v>92948</v>
      </c>
      <c r="G3" s="17">
        <v>110014</v>
      </c>
      <c r="H3" s="17">
        <v>113469</v>
      </c>
      <c r="I3" s="17">
        <v>113493</v>
      </c>
      <c r="J3" s="17">
        <v>114118</v>
      </c>
      <c r="K3" s="18">
        <v>132576</v>
      </c>
      <c r="L3" s="17">
        <v>132576</v>
      </c>
      <c r="M3" s="17">
        <v>137009</v>
      </c>
      <c r="N3" s="17">
        <v>137009</v>
      </c>
      <c r="O3" s="17">
        <v>137009</v>
      </c>
      <c r="P3" s="17">
        <v>137009</v>
      </c>
      <c r="Q3" s="17">
        <v>149361</v>
      </c>
      <c r="R3" s="17">
        <v>153941</v>
      </c>
      <c r="S3" s="17">
        <v>153954</v>
      </c>
      <c r="T3" s="17">
        <v>153968</v>
      </c>
      <c r="U3" s="17">
        <v>154543</v>
      </c>
      <c r="V3" s="17">
        <v>155767</v>
      </c>
      <c r="W3" s="17">
        <v>155767</v>
      </c>
      <c r="X3" s="17">
        <v>155768</v>
      </c>
      <c r="Y3" s="17">
        <v>156633</v>
      </c>
      <c r="Z3" s="17">
        <v>156761</v>
      </c>
      <c r="AA3" s="19"/>
    </row>
    <row r="4" spans="1:27" ht="14.25" x14ac:dyDescent="0.45">
      <c r="A4" s="20" t="s">
        <v>11</v>
      </c>
      <c r="B4" s="21">
        <f t="shared" ref="B4:Z4" si="0">B2-B3</f>
        <v>9962</v>
      </c>
      <c r="C4" s="21">
        <f t="shared" si="0"/>
        <v>10130</v>
      </c>
      <c r="D4" s="21">
        <f t="shared" si="0"/>
        <v>10644</v>
      </c>
      <c r="E4" s="21">
        <f t="shared" si="0"/>
        <v>8816</v>
      </c>
      <c r="F4" s="21">
        <f t="shared" si="0"/>
        <v>9479</v>
      </c>
      <c r="G4" s="21">
        <f t="shared" si="0"/>
        <v>10566</v>
      </c>
      <c r="H4" s="21">
        <f t="shared" si="0"/>
        <v>10075</v>
      </c>
      <c r="I4" s="21">
        <f t="shared" si="0"/>
        <v>10068</v>
      </c>
      <c r="J4" s="21">
        <f t="shared" si="0"/>
        <v>10278</v>
      </c>
      <c r="K4" s="21">
        <f t="shared" si="0"/>
        <v>15525</v>
      </c>
      <c r="L4" s="21">
        <f t="shared" si="0"/>
        <v>15527</v>
      </c>
      <c r="M4" s="21">
        <f t="shared" si="0"/>
        <v>19460</v>
      </c>
      <c r="N4" s="21">
        <f t="shared" si="0"/>
        <v>19460</v>
      </c>
      <c r="O4" s="21">
        <f t="shared" si="0"/>
        <v>19460</v>
      </c>
      <c r="P4" s="21">
        <f t="shared" si="0"/>
        <v>19460</v>
      </c>
      <c r="Q4" s="21">
        <f t="shared" si="0"/>
        <v>22986</v>
      </c>
      <c r="R4" s="21">
        <f t="shared" si="0"/>
        <v>24081</v>
      </c>
      <c r="S4" s="21">
        <f t="shared" si="0"/>
        <v>24104</v>
      </c>
      <c r="T4" s="21">
        <f t="shared" si="0"/>
        <v>24097</v>
      </c>
      <c r="U4" s="21">
        <f t="shared" si="0"/>
        <v>24008</v>
      </c>
      <c r="V4" s="21">
        <f t="shared" si="0"/>
        <v>24524</v>
      </c>
      <c r="W4" s="21">
        <f t="shared" si="0"/>
        <v>24524</v>
      </c>
      <c r="X4" s="21">
        <f t="shared" si="0"/>
        <v>24524</v>
      </c>
      <c r="Y4" s="21">
        <f t="shared" si="0"/>
        <v>24623</v>
      </c>
      <c r="Z4" s="21">
        <f t="shared" si="0"/>
        <v>24677</v>
      </c>
      <c r="AA4" s="22"/>
    </row>
    <row r="5" spans="1:27" ht="14.25" x14ac:dyDescent="0.45">
      <c r="A5" s="20" t="s">
        <v>12</v>
      </c>
      <c r="B5" s="23">
        <f t="shared" ref="B5:Z5" si="1">B4/SUM(B2:B3)</f>
        <v>5.9178557426130762E-2</v>
      </c>
      <c r="C5" s="23">
        <f t="shared" si="1"/>
        <v>5.9827545476021732E-2</v>
      </c>
      <c r="D5" s="23">
        <f t="shared" si="1"/>
        <v>5.8475805388300446E-2</v>
      </c>
      <c r="E5" s="23">
        <f t="shared" si="1"/>
        <v>4.6127121659236936E-2</v>
      </c>
      <c r="F5" s="23">
        <f t="shared" si="1"/>
        <v>4.8516954574536149E-2</v>
      </c>
      <c r="G5" s="23">
        <f t="shared" si="1"/>
        <v>4.582079325567881E-2</v>
      </c>
      <c r="H5" s="23">
        <f t="shared" si="1"/>
        <v>4.2508216848864827E-2</v>
      </c>
      <c r="I5" s="23">
        <f t="shared" si="1"/>
        <v>4.24713356450429E-2</v>
      </c>
      <c r="J5" s="23">
        <f t="shared" si="1"/>
        <v>4.3091810124353286E-2</v>
      </c>
      <c r="K5" s="23">
        <f t="shared" si="1"/>
        <v>5.5312690387883584E-2</v>
      </c>
      <c r="L5" s="23">
        <f t="shared" si="1"/>
        <v>5.5319421830632147E-2</v>
      </c>
      <c r="M5" s="23">
        <f t="shared" si="1"/>
        <v>6.6308207088776674E-2</v>
      </c>
      <c r="N5" s="23">
        <f t="shared" si="1"/>
        <v>6.6308207088776674E-2</v>
      </c>
      <c r="O5" s="23">
        <f t="shared" si="1"/>
        <v>6.6308207088776674E-2</v>
      </c>
      <c r="P5" s="23">
        <f t="shared" si="1"/>
        <v>6.6308207088776674E-2</v>
      </c>
      <c r="Q5" s="23">
        <f t="shared" si="1"/>
        <v>7.1449886232235443E-2</v>
      </c>
      <c r="R5" s="23">
        <f t="shared" si="1"/>
        <v>7.2541216942852066E-2</v>
      </c>
      <c r="S5" s="23">
        <f t="shared" si="1"/>
        <v>7.2599785549919887E-2</v>
      </c>
      <c r="T5" s="23">
        <f t="shared" si="1"/>
        <v>7.2574111609388217E-2</v>
      </c>
      <c r="U5" s="23">
        <f t="shared" si="1"/>
        <v>7.2075750388779142E-2</v>
      </c>
      <c r="V5" s="23">
        <f t="shared" si="1"/>
        <v>7.297549827708312E-2</v>
      </c>
      <c r="W5" s="23">
        <f t="shared" si="1"/>
        <v>7.297549827708312E-2</v>
      </c>
      <c r="X5" s="23">
        <f t="shared" si="1"/>
        <v>7.2975063976670834E-2</v>
      </c>
      <c r="Y5" s="23">
        <f t="shared" si="1"/>
        <v>7.287304410620056E-2</v>
      </c>
      <c r="Z5" s="23">
        <f t="shared" si="1"/>
        <v>7.2965916516607082E-2</v>
      </c>
    </row>
    <row r="6" spans="1:27" ht="14.25" x14ac:dyDescent="0.45">
      <c r="A6" s="20" t="s">
        <v>13</v>
      </c>
      <c r="B6" s="24">
        <f t="shared" ref="B6:Z6" si="2">SUM(B7:B16)</f>
        <v>346428</v>
      </c>
      <c r="C6" s="24">
        <f t="shared" si="2"/>
        <v>344949</v>
      </c>
      <c r="D6" s="24">
        <f t="shared" si="2"/>
        <v>297717</v>
      </c>
      <c r="E6" s="24">
        <f t="shared" si="2"/>
        <v>277382</v>
      </c>
      <c r="F6" s="24">
        <f t="shared" si="2"/>
        <v>268005</v>
      </c>
      <c r="G6" s="21">
        <f t="shared" si="2"/>
        <v>242993</v>
      </c>
      <c r="H6" s="21">
        <f t="shared" si="2"/>
        <v>242993</v>
      </c>
      <c r="I6" s="21">
        <f t="shared" si="2"/>
        <v>237743</v>
      </c>
      <c r="J6" s="21">
        <f t="shared" si="2"/>
        <v>237469</v>
      </c>
      <c r="K6" s="21">
        <f t="shared" si="2"/>
        <v>180502</v>
      </c>
      <c r="L6" s="21">
        <f t="shared" si="2"/>
        <v>143446</v>
      </c>
      <c r="M6" s="21">
        <f t="shared" si="2"/>
        <v>129640</v>
      </c>
      <c r="N6" s="21">
        <f t="shared" si="2"/>
        <v>129640</v>
      </c>
      <c r="O6" s="21">
        <f t="shared" si="2"/>
        <v>129640</v>
      </c>
      <c r="P6" s="21">
        <f t="shared" si="2"/>
        <v>129640</v>
      </c>
      <c r="Q6" s="21">
        <f t="shared" si="2"/>
        <v>27035</v>
      </c>
      <c r="R6" s="21">
        <f t="shared" si="2"/>
        <v>27035</v>
      </c>
      <c r="S6" s="21">
        <f t="shared" si="2"/>
        <v>16787</v>
      </c>
      <c r="T6" s="21">
        <f t="shared" si="2"/>
        <v>16512</v>
      </c>
      <c r="U6" s="21">
        <f t="shared" si="2"/>
        <v>4063</v>
      </c>
      <c r="V6" s="21">
        <f t="shared" si="2"/>
        <v>4063</v>
      </c>
      <c r="W6" s="21">
        <f t="shared" si="2"/>
        <v>4063</v>
      </c>
      <c r="X6" s="21">
        <f t="shared" si="2"/>
        <v>4063</v>
      </c>
      <c r="Y6" s="21">
        <f t="shared" si="2"/>
        <v>257</v>
      </c>
      <c r="Z6" s="21">
        <f t="shared" si="2"/>
        <v>0</v>
      </c>
    </row>
    <row r="7" spans="1:27" ht="14.25" x14ac:dyDescent="0.45">
      <c r="A7" s="25" t="s">
        <v>14</v>
      </c>
      <c r="B7" s="26">
        <v>18</v>
      </c>
      <c r="C7" s="27">
        <v>18</v>
      </c>
      <c r="D7" s="28">
        <v>18</v>
      </c>
      <c r="E7" s="28">
        <v>18</v>
      </c>
      <c r="F7" s="29">
        <v>18</v>
      </c>
      <c r="G7" s="29">
        <v>18</v>
      </c>
      <c r="H7" s="29">
        <v>18</v>
      </c>
      <c r="I7" s="29">
        <v>18</v>
      </c>
      <c r="J7" s="29">
        <v>18</v>
      </c>
      <c r="K7" s="29">
        <v>18</v>
      </c>
      <c r="L7" s="29">
        <v>18</v>
      </c>
      <c r="M7" s="29">
        <v>18</v>
      </c>
      <c r="N7" s="29">
        <v>18</v>
      </c>
      <c r="O7" s="29">
        <v>18</v>
      </c>
      <c r="P7" s="29">
        <v>18</v>
      </c>
      <c r="Q7" s="29">
        <v>18</v>
      </c>
      <c r="R7" s="29">
        <v>18</v>
      </c>
      <c r="S7" s="29">
        <v>18</v>
      </c>
      <c r="T7" s="29">
        <v>18</v>
      </c>
      <c r="U7" s="29">
        <v>18</v>
      </c>
      <c r="V7" s="29">
        <v>18</v>
      </c>
      <c r="W7" s="29">
        <v>18</v>
      </c>
      <c r="X7" s="29">
        <v>18</v>
      </c>
      <c r="Y7" s="29">
        <v>18</v>
      </c>
      <c r="Z7" s="29">
        <v>0</v>
      </c>
    </row>
    <row r="8" spans="1:27" ht="14.25" x14ac:dyDescent="0.45">
      <c r="A8" s="25" t="s">
        <v>15</v>
      </c>
      <c r="B8" s="26">
        <v>16086</v>
      </c>
      <c r="C8" s="26">
        <v>16086</v>
      </c>
      <c r="D8" s="26">
        <v>16086</v>
      </c>
      <c r="E8" s="30">
        <v>1748</v>
      </c>
      <c r="F8" s="30">
        <v>1748</v>
      </c>
      <c r="G8" s="29">
        <v>399</v>
      </c>
      <c r="H8" s="29">
        <v>399</v>
      </c>
      <c r="I8" s="29">
        <v>399</v>
      </c>
      <c r="J8" s="29">
        <v>275</v>
      </c>
      <c r="K8" s="29">
        <v>275</v>
      </c>
      <c r="L8" s="29">
        <v>275</v>
      </c>
      <c r="M8" s="29">
        <v>275</v>
      </c>
      <c r="N8" s="29">
        <v>275</v>
      </c>
      <c r="O8" s="29">
        <v>275</v>
      </c>
      <c r="P8" s="29">
        <v>275</v>
      </c>
      <c r="Q8" s="29">
        <v>275</v>
      </c>
      <c r="R8" s="29">
        <v>275</v>
      </c>
      <c r="S8" s="29">
        <v>275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</row>
    <row r="9" spans="1:27" ht="14.25" x14ac:dyDescent="0.45">
      <c r="A9" s="25" t="s">
        <v>16</v>
      </c>
      <c r="B9" s="26">
        <v>1172</v>
      </c>
      <c r="C9" s="28">
        <v>136</v>
      </c>
      <c r="D9" s="28">
        <v>98</v>
      </c>
      <c r="E9" s="29">
        <v>98</v>
      </c>
      <c r="F9" s="29">
        <v>98</v>
      </c>
      <c r="G9" s="29">
        <v>98</v>
      </c>
      <c r="H9" s="29">
        <v>98</v>
      </c>
      <c r="I9" s="29">
        <v>98</v>
      </c>
      <c r="J9" s="29">
        <v>98</v>
      </c>
      <c r="K9" s="29">
        <v>98</v>
      </c>
      <c r="L9" s="29">
        <v>98</v>
      </c>
      <c r="M9" s="29">
        <v>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</row>
    <row r="10" spans="1:27" ht="14.25" x14ac:dyDescent="0.45">
      <c r="A10" s="25" t="s">
        <v>17</v>
      </c>
      <c r="B10" s="26">
        <v>703</v>
      </c>
      <c r="C10" s="28">
        <v>260</v>
      </c>
      <c r="D10" s="28">
        <v>193</v>
      </c>
      <c r="E10" s="29">
        <v>185</v>
      </c>
      <c r="F10" s="29">
        <v>161</v>
      </c>
      <c r="G10" s="29">
        <v>150</v>
      </c>
      <c r="H10" s="29">
        <v>150</v>
      </c>
      <c r="I10" s="29">
        <v>150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</row>
    <row r="11" spans="1:27" ht="14.25" x14ac:dyDescent="0.45">
      <c r="A11" s="25" t="s">
        <v>18</v>
      </c>
      <c r="B11" s="26">
        <v>18478</v>
      </c>
      <c r="C11" s="26">
        <v>18478</v>
      </c>
      <c r="D11" s="26">
        <v>18478</v>
      </c>
      <c r="E11" s="30">
        <v>12489</v>
      </c>
      <c r="F11" s="30">
        <v>12489</v>
      </c>
      <c r="G11" s="30">
        <v>12489</v>
      </c>
      <c r="H11" s="30">
        <v>12489</v>
      </c>
      <c r="I11" s="30">
        <v>7239</v>
      </c>
      <c r="J11" s="30">
        <v>7239</v>
      </c>
      <c r="K11" s="30">
        <v>7239</v>
      </c>
      <c r="L11" s="29">
        <v>989</v>
      </c>
      <c r="M11" s="29">
        <v>989</v>
      </c>
      <c r="N11" s="29">
        <v>989</v>
      </c>
      <c r="O11" s="29">
        <v>989</v>
      </c>
      <c r="P11" s="29">
        <v>989</v>
      </c>
      <c r="Q11" s="29">
        <v>394</v>
      </c>
      <c r="R11" s="29">
        <v>394</v>
      </c>
      <c r="S11" s="29">
        <v>394</v>
      </c>
      <c r="T11" s="29">
        <v>394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</row>
    <row r="12" spans="1:27" ht="14.25" x14ac:dyDescent="0.45">
      <c r="A12" s="25" t="s">
        <v>19</v>
      </c>
      <c r="B12" s="26">
        <v>105900</v>
      </c>
      <c r="C12" s="26">
        <v>105900</v>
      </c>
      <c r="D12" s="31">
        <v>105400</v>
      </c>
      <c r="E12" s="31">
        <v>105400</v>
      </c>
      <c r="F12" s="31">
        <v>105400</v>
      </c>
      <c r="G12" s="30">
        <v>82200</v>
      </c>
      <c r="H12" s="30">
        <v>82200</v>
      </c>
      <c r="I12" s="30">
        <v>82200</v>
      </c>
      <c r="J12" s="30">
        <v>82200</v>
      </c>
      <c r="K12" s="30">
        <v>82200</v>
      </c>
      <c r="L12" s="30">
        <v>51400</v>
      </c>
      <c r="M12" s="30">
        <v>38910</v>
      </c>
      <c r="N12" s="30">
        <v>38910</v>
      </c>
      <c r="O12" s="30">
        <v>38910</v>
      </c>
      <c r="P12" s="30">
        <v>38910</v>
      </c>
      <c r="Q12" s="30">
        <v>13900</v>
      </c>
      <c r="R12" s="30">
        <v>13900</v>
      </c>
      <c r="S12" s="30">
        <v>4100</v>
      </c>
      <c r="T12" s="30">
        <v>4100</v>
      </c>
      <c r="U12" s="30">
        <v>1945</v>
      </c>
      <c r="V12" s="30">
        <v>1945</v>
      </c>
      <c r="W12" s="30">
        <v>1945</v>
      </c>
      <c r="X12" s="30">
        <v>1945</v>
      </c>
      <c r="Y12" s="29">
        <v>239</v>
      </c>
      <c r="Z12" s="29">
        <v>0</v>
      </c>
    </row>
    <row r="13" spans="1:27" ht="14.25" x14ac:dyDescent="0.45">
      <c r="A13" s="25" t="s">
        <v>20</v>
      </c>
      <c r="B13" s="26">
        <v>973</v>
      </c>
      <c r="C13" s="28">
        <v>973</v>
      </c>
      <c r="D13" s="28">
        <v>973</v>
      </c>
      <c r="E13" s="28">
        <v>973</v>
      </c>
      <c r="F13" s="29">
        <v>973</v>
      </c>
      <c r="G13" s="29">
        <v>973</v>
      </c>
      <c r="H13" s="29">
        <v>973</v>
      </c>
      <c r="I13" s="29">
        <v>973</v>
      </c>
      <c r="J13" s="29">
        <v>973</v>
      </c>
      <c r="K13" s="29">
        <v>6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</row>
    <row r="14" spans="1:27" ht="14.25" x14ac:dyDescent="0.45">
      <c r="A14" s="25" t="s">
        <v>21</v>
      </c>
      <c r="B14" s="26">
        <v>192079</v>
      </c>
      <c r="C14" s="26">
        <v>192079</v>
      </c>
      <c r="D14" s="31">
        <v>145452</v>
      </c>
      <c r="E14" s="31">
        <v>145452</v>
      </c>
      <c r="F14" s="31">
        <v>145452</v>
      </c>
      <c r="G14" s="32">
        <v>145000</v>
      </c>
      <c r="H14" s="32">
        <v>145000</v>
      </c>
      <c r="I14" s="32">
        <v>145000</v>
      </c>
      <c r="J14" s="32">
        <v>145000</v>
      </c>
      <c r="K14" s="30">
        <v>89000</v>
      </c>
      <c r="L14" s="30">
        <v>89000</v>
      </c>
      <c r="M14" s="30">
        <v>89000</v>
      </c>
      <c r="N14" s="30">
        <v>89000</v>
      </c>
      <c r="O14" s="30">
        <v>89000</v>
      </c>
      <c r="P14" s="30">
        <v>89000</v>
      </c>
      <c r="Q14" s="30">
        <v>12000</v>
      </c>
      <c r="R14" s="30">
        <v>12000</v>
      </c>
      <c r="S14" s="30">
        <v>12000</v>
      </c>
      <c r="T14" s="30">
        <v>12000</v>
      </c>
      <c r="U14" s="30">
        <v>2100</v>
      </c>
      <c r="V14" s="30">
        <v>2100</v>
      </c>
      <c r="W14" s="30">
        <v>2100</v>
      </c>
      <c r="X14" s="30">
        <v>2100</v>
      </c>
      <c r="Y14" s="29">
        <v>0</v>
      </c>
      <c r="Z14" s="29">
        <v>0</v>
      </c>
    </row>
    <row r="15" spans="1:27" ht="14.25" x14ac:dyDescent="0.45">
      <c r="A15" s="25" t="s">
        <v>22</v>
      </c>
      <c r="B15" s="26">
        <v>0</v>
      </c>
      <c r="C15" s="28">
        <v>0</v>
      </c>
      <c r="D15" s="28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</row>
    <row r="16" spans="1:27" ht="14.25" x14ac:dyDescent="0.45">
      <c r="A16" s="25" t="s">
        <v>23</v>
      </c>
      <c r="B16" s="26">
        <v>11019</v>
      </c>
      <c r="C16" s="26">
        <v>11019</v>
      </c>
      <c r="D16" s="26">
        <v>11019</v>
      </c>
      <c r="E16" s="26">
        <v>11019</v>
      </c>
      <c r="F16" s="30">
        <v>1666</v>
      </c>
      <c r="G16" s="30">
        <v>1666</v>
      </c>
      <c r="H16" s="30">
        <v>1666</v>
      </c>
      <c r="I16" s="30">
        <v>1666</v>
      </c>
      <c r="J16" s="30">
        <v>1666</v>
      </c>
      <c r="K16" s="30">
        <v>1666</v>
      </c>
      <c r="L16" s="30">
        <v>1666</v>
      </c>
      <c r="M16" s="29">
        <v>448</v>
      </c>
      <c r="N16" s="29">
        <v>448</v>
      </c>
      <c r="O16" s="29">
        <v>448</v>
      </c>
      <c r="P16" s="29">
        <v>448</v>
      </c>
      <c r="Q16" s="29">
        <v>448</v>
      </c>
      <c r="R16" s="29">
        <v>448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</row>
    <row r="17" spans="1:27" ht="37.5" customHeight="1" x14ac:dyDescent="0.45">
      <c r="A17" s="33"/>
    </row>
    <row r="18" spans="1:27" ht="28.5" x14ac:dyDescent="0.45">
      <c r="A18" s="34" t="s">
        <v>24</v>
      </c>
      <c r="B18" s="84" t="s">
        <v>25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35"/>
      <c r="Q18" s="35"/>
      <c r="R18" s="35"/>
      <c r="S18" s="35"/>
      <c r="T18" s="35"/>
      <c r="U18" s="35"/>
      <c r="V18" s="35"/>
      <c r="W18" s="35"/>
    </row>
    <row r="20" spans="1:27" ht="14.25" x14ac:dyDescent="0.45">
      <c r="A20" s="85" t="s">
        <v>26</v>
      </c>
      <c r="B20" s="83"/>
      <c r="C20" s="83"/>
      <c r="D20" s="83"/>
      <c r="E20" s="83"/>
      <c r="F20" s="83"/>
    </row>
    <row r="22" spans="1:27" ht="14.25" x14ac:dyDescent="0.45">
      <c r="A22" s="82" t="s">
        <v>27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</row>
    <row r="23" spans="1:27" ht="15.75" customHeight="1" x14ac:dyDescent="0.45"/>
    <row r="24" spans="1:27" ht="15.75" customHeight="1" x14ac:dyDescent="0.45">
      <c r="A24" s="82" t="s">
        <v>28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</row>
    <row r="25" spans="1:27" ht="15.75" customHeight="1" x14ac:dyDescent="0.45">
      <c r="A25" s="82" t="s">
        <v>29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</row>
    <row r="26" spans="1:27" ht="15.75" customHeight="1" x14ac:dyDescent="0.45">
      <c r="A26" s="82" t="s">
        <v>30</v>
      </c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36"/>
      <c r="T26" s="36"/>
      <c r="U26" s="36"/>
      <c r="V26" s="36"/>
      <c r="W26" s="36"/>
      <c r="X26" s="36"/>
      <c r="Y26" s="36"/>
      <c r="Z26" s="36"/>
      <c r="AA26" s="36"/>
    </row>
    <row r="27" spans="1:27" ht="15.75" customHeight="1" x14ac:dyDescent="0.45">
      <c r="A27" s="82" t="s">
        <v>31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spans="1:27" ht="15.75" customHeight="1" x14ac:dyDescent="0.45">
      <c r="A28" s="82" t="s">
        <v>32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</row>
    <row r="29" spans="1:27" ht="15.75" customHeight="1" x14ac:dyDescent="0.45">
      <c r="A29" s="82" t="s">
        <v>33</v>
      </c>
      <c r="B29" s="83"/>
      <c r="C29" s="83"/>
      <c r="D29" s="83"/>
      <c r="E29" s="83"/>
      <c r="F29" s="83"/>
      <c r="G29" s="83"/>
      <c r="H29" s="83"/>
      <c r="I29" s="83"/>
      <c r="J29" s="83"/>
      <c r="K29" s="83"/>
    </row>
    <row r="30" spans="1:27" ht="15.75" customHeight="1" x14ac:dyDescent="0.45">
      <c r="A30" s="82" t="s">
        <v>34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spans="1:27" ht="15.75" customHeight="1" x14ac:dyDescent="0.45">
      <c r="A31" s="82" t="s">
        <v>35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1:27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  <row r="1003" ht="15.75" customHeight="1" x14ac:dyDescent="0.45"/>
  </sheetData>
  <mergeCells count="11">
    <mergeCell ref="A29:K29"/>
    <mergeCell ref="A30:P30"/>
    <mergeCell ref="A31:M31"/>
    <mergeCell ref="B18:O18"/>
    <mergeCell ref="A22:S22"/>
    <mergeCell ref="A24:M24"/>
    <mergeCell ref="A25:R25"/>
    <mergeCell ref="A26:R26"/>
    <mergeCell ref="A27:N27"/>
    <mergeCell ref="A28:R28"/>
    <mergeCell ref="A20:F20"/>
  </mergeCells>
  <hyperlinks>
    <hyperlink ref="B18" r:id="rId1" xr:uid="{00000000-0004-0000-0000-000000000000}"/>
    <hyperlink ref="A22" r:id="rId2" xr:uid="{00000000-0004-0000-0000-000001000000}"/>
    <hyperlink ref="A24" r:id="rId3" xr:uid="{00000000-0004-0000-0000-000002000000}"/>
    <hyperlink ref="A25" r:id="rId4" xr:uid="{00000000-0004-0000-0000-000003000000}"/>
    <hyperlink ref="A26" r:id="rId5" xr:uid="{00000000-0004-0000-0000-000004000000}"/>
    <hyperlink ref="A27" r:id="rId6" xr:uid="{00000000-0004-0000-0000-000005000000}"/>
    <hyperlink ref="A28" r:id="rId7" xr:uid="{00000000-0004-0000-0000-000006000000}"/>
    <hyperlink ref="A29" r:id="rId8" xr:uid="{00000000-0004-0000-0000-000007000000}"/>
    <hyperlink ref="A30" r:id="rId9" xr:uid="{00000000-0004-0000-0000-000008000000}"/>
    <hyperlink ref="A31" r:id="rId10" xr:uid="{00000000-0004-0000-0000-000009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6"/>
  <sheetViews>
    <sheetView workbookViewId="0"/>
  </sheetViews>
  <sheetFormatPr defaultColWidth="14.3984375" defaultRowHeight="15" customHeight="1" x14ac:dyDescent="0.45"/>
  <cols>
    <col min="1" max="1" width="24.3984375" customWidth="1"/>
    <col min="2" max="6" width="8.73046875" customWidth="1"/>
    <col min="7" max="7" width="9.53125" customWidth="1"/>
    <col min="8" max="26" width="8.73046875" customWidth="1"/>
  </cols>
  <sheetData>
    <row r="1" spans="1:26" ht="28.5" x14ac:dyDescent="0.45">
      <c r="A1" s="1" t="s">
        <v>36</v>
      </c>
      <c r="B1" s="2">
        <v>44879</v>
      </c>
      <c r="C1" s="3">
        <v>44880</v>
      </c>
      <c r="D1" s="3">
        <v>44881</v>
      </c>
      <c r="E1" s="3">
        <v>44882</v>
      </c>
      <c r="F1" s="3">
        <v>44883</v>
      </c>
      <c r="G1" s="6" t="s">
        <v>37</v>
      </c>
      <c r="H1" s="5">
        <v>44886</v>
      </c>
      <c r="I1" s="6" t="s">
        <v>38</v>
      </c>
      <c r="J1" s="37">
        <v>44887</v>
      </c>
      <c r="K1" s="6" t="s">
        <v>39</v>
      </c>
      <c r="L1" s="5">
        <v>44888</v>
      </c>
      <c r="M1" s="5">
        <v>44889</v>
      </c>
      <c r="N1" s="5">
        <v>44893</v>
      </c>
      <c r="O1" s="38" t="s">
        <v>40</v>
      </c>
      <c r="P1" s="5">
        <v>44894</v>
      </c>
      <c r="Q1" s="6" t="s">
        <v>41</v>
      </c>
      <c r="R1" s="6" t="s">
        <v>42</v>
      </c>
      <c r="S1" s="7">
        <v>44896</v>
      </c>
      <c r="T1" s="7">
        <v>44897</v>
      </c>
      <c r="U1" s="6" t="s">
        <v>43</v>
      </c>
      <c r="V1" s="6" t="s">
        <v>44</v>
      </c>
      <c r="W1" s="7">
        <v>44904</v>
      </c>
      <c r="X1" s="39"/>
      <c r="Y1" s="39"/>
      <c r="Z1" s="39"/>
    </row>
    <row r="2" spans="1:26" ht="14.25" x14ac:dyDescent="0.45">
      <c r="A2" s="9" t="s">
        <v>45</v>
      </c>
      <c r="B2" s="10">
        <v>39697</v>
      </c>
      <c r="C2" s="11">
        <v>50442</v>
      </c>
      <c r="D2" s="11">
        <v>55921</v>
      </c>
      <c r="E2" s="12">
        <v>60084</v>
      </c>
      <c r="F2" s="12">
        <v>62529</v>
      </c>
      <c r="G2" s="12">
        <v>63539</v>
      </c>
      <c r="H2" s="12">
        <v>63539</v>
      </c>
      <c r="I2" s="12">
        <v>63539</v>
      </c>
      <c r="J2" s="12">
        <v>63539</v>
      </c>
      <c r="K2" s="12">
        <v>64448</v>
      </c>
      <c r="L2" s="12">
        <v>66360</v>
      </c>
      <c r="M2" s="12">
        <v>66808</v>
      </c>
      <c r="N2" s="12">
        <v>66808</v>
      </c>
      <c r="O2" s="12">
        <v>66808</v>
      </c>
      <c r="P2" s="12">
        <v>66808</v>
      </c>
      <c r="Q2" s="12">
        <v>66808</v>
      </c>
      <c r="R2" s="12">
        <v>66871</v>
      </c>
      <c r="S2" s="12">
        <v>66871</v>
      </c>
      <c r="T2" s="12">
        <v>66884</v>
      </c>
      <c r="U2" s="12">
        <v>66884</v>
      </c>
      <c r="V2" s="12">
        <v>67041</v>
      </c>
      <c r="W2" s="12">
        <v>67060</v>
      </c>
      <c r="X2" s="40"/>
      <c r="Y2" s="40"/>
      <c r="Z2" s="40"/>
    </row>
    <row r="3" spans="1:26" ht="14.25" x14ac:dyDescent="0.45">
      <c r="A3" s="14" t="s">
        <v>46</v>
      </c>
      <c r="B3" s="15">
        <v>39613</v>
      </c>
      <c r="C3" s="16">
        <v>51203</v>
      </c>
      <c r="D3" s="16">
        <v>56521</v>
      </c>
      <c r="E3" s="17">
        <v>59121</v>
      </c>
      <c r="F3" s="17">
        <v>61702</v>
      </c>
      <c r="G3" s="17">
        <v>62674</v>
      </c>
      <c r="H3" s="17">
        <v>62674</v>
      </c>
      <c r="I3" s="17">
        <v>62674</v>
      </c>
      <c r="J3" s="17">
        <v>62674</v>
      </c>
      <c r="K3" s="17">
        <v>63596</v>
      </c>
      <c r="L3" s="17">
        <v>65660</v>
      </c>
      <c r="M3" s="17">
        <v>66215</v>
      </c>
      <c r="N3" s="17">
        <v>66215</v>
      </c>
      <c r="O3" s="17">
        <v>66215</v>
      </c>
      <c r="P3" s="17">
        <v>66215</v>
      </c>
      <c r="Q3" s="17">
        <v>66215</v>
      </c>
      <c r="R3" s="17">
        <v>66272</v>
      </c>
      <c r="S3" s="17">
        <v>66272</v>
      </c>
      <c r="T3" s="17">
        <v>66300</v>
      </c>
      <c r="U3" s="17">
        <v>66300</v>
      </c>
      <c r="V3" s="17">
        <v>66476</v>
      </c>
      <c r="W3" s="17">
        <v>66496</v>
      </c>
      <c r="X3" s="41"/>
      <c r="Y3" s="41"/>
      <c r="Z3" s="41"/>
    </row>
    <row r="4" spans="1:26" ht="14.25" x14ac:dyDescent="0.45">
      <c r="A4" s="20" t="s">
        <v>11</v>
      </c>
      <c r="B4" s="21">
        <f>B2-B3</f>
        <v>84</v>
      </c>
      <c r="C4" s="31">
        <f t="shared" ref="C4:D4" si="0">C3-C2</f>
        <v>761</v>
      </c>
      <c r="D4" s="31">
        <f t="shared" si="0"/>
        <v>600</v>
      </c>
      <c r="E4" s="31">
        <f t="shared" ref="E4:W4" si="1">E2-E3</f>
        <v>963</v>
      </c>
      <c r="F4" s="31">
        <f t="shared" si="1"/>
        <v>827</v>
      </c>
      <c r="G4" s="31">
        <f t="shared" si="1"/>
        <v>865</v>
      </c>
      <c r="H4" s="31">
        <f t="shared" si="1"/>
        <v>865</v>
      </c>
      <c r="I4" s="31">
        <f t="shared" si="1"/>
        <v>865</v>
      </c>
      <c r="J4" s="31">
        <f t="shared" si="1"/>
        <v>865</v>
      </c>
      <c r="K4" s="31">
        <f t="shared" si="1"/>
        <v>852</v>
      </c>
      <c r="L4" s="31">
        <f t="shared" si="1"/>
        <v>700</v>
      </c>
      <c r="M4" s="31">
        <f t="shared" si="1"/>
        <v>593</v>
      </c>
      <c r="N4" s="31">
        <f t="shared" si="1"/>
        <v>593</v>
      </c>
      <c r="O4" s="31">
        <f t="shared" si="1"/>
        <v>593</v>
      </c>
      <c r="P4" s="31">
        <f t="shared" si="1"/>
        <v>593</v>
      </c>
      <c r="Q4" s="31">
        <f t="shared" si="1"/>
        <v>593</v>
      </c>
      <c r="R4" s="31">
        <f t="shared" si="1"/>
        <v>599</v>
      </c>
      <c r="S4" s="31">
        <f t="shared" si="1"/>
        <v>599</v>
      </c>
      <c r="T4" s="31">
        <f t="shared" si="1"/>
        <v>584</v>
      </c>
      <c r="U4" s="31">
        <f t="shared" si="1"/>
        <v>584</v>
      </c>
      <c r="V4" s="31">
        <f t="shared" si="1"/>
        <v>565</v>
      </c>
      <c r="W4" s="31">
        <f t="shared" si="1"/>
        <v>564</v>
      </c>
    </row>
    <row r="5" spans="1:26" ht="14.25" x14ac:dyDescent="0.45">
      <c r="A5" s="20" t="s">
        <v>12</v>
      </c>
      <c r="B5" s="23">
        <f t="shared" ref="B5:W5" si="2">B4/SUM(B2:B3)</f>
        <v>1.059135039717564E-3</v>
      </c>
      <c r="C5" s="23">
        <f t="shared" si="2"/>
        <v>7.4868414580156429E-3</v>
      </c>
      <c r="D5" s="23">
        <f t="shared" si="2"/>
        <v>5.3360843812810159E-3</v>
      </c>
      <c r="E5" s="23">
        <f t="shared" si="2"/>
        <v>8.0785201963004902E-3</v>
      </c>
      <c r="F5" s="23">
        <f t="shared" si="2"/>
        <v>6.6569535784144051E-3</v>
      </c>
      <c r="G5" s="23">
        <f t="shared" si="2"/>
        <v>6.8534936971627325E-3</v>
      </c>
      <c r="H5" s="23">
        <f t="shared" si="2"/>
        <v>6.8534936971627325E-3</v>
      </c>
      <c r="I5" s="23">
        <f t="shared" si="2"/>
        <v>6.8534936971627325E-3</v>
      </c>
      <c r="J5" s="23">
        <f t="shared" si="2"/>
        <v>6.8534936971627325E-3</v>
      </c>
      <c r="K5" s="23">
        <f t="shared" si="2"/>
        <v>6.6539627003217644E-3</v>
      </c>
      <c r="L5" s="23">
        <f t="shared" si="2"/>
        <v>5.3022269353128317E-3</v>
      </c>
      <c r="M5" s="23">
        <f t="shared" si="2"/>
        <v>4.4578757057050283E-3</v>
      </c>
      <c r="N5" s="23">
        <f t="shared" si="2"/>
        <v>4.4578757057050283E-3</v>
      </c>
      <c r="O5" s="23">
        <f t="shared" si="2"/>
        <v>4.4578757057050283E-3</v>
      </c>
      <c r="P5" s="23">
        <f t="shared" si="2"/>
        <v>4.4578757057050283E-3</v>
      </c>
      <c r="Q5" s="23">
        <f t="shared" si="2"/>
        <v>4.4578757057050283E-3</v>
      </c>
      <c r="R5" s="23">
        <f t="shared" si="2"/>
        <v>4.4989222114568544E-3</v>
      </c>
      <c r="S5" s="23">
        <f t="shared" si="2"/>
        <v>4.4989222114568544E-3</v>
      </c>
      <c r="T5" s="23">
        <f t="shared" si="2"/>
        <v>4.3849111004324844E-3</v>
      </c>
      <c r="U5" s="23">
        <f t="shared" si="2"/>
        <v>4.3849111004324844E-3</v>
      </c>
      <c r="V5" s="23">
        <f t="shared" si="2"/>
        <v>4.2316708733719302E-3</v>
      </c>
      <c r="W5" s="23">
        <f t="shared" si="2"/>
        <v>4.2229476773787775E-3</v>
      </c>
    </row>
    <row r="6" spans="1:26" ht="14.25" x14ac:dyDescent="0.45">
      <c r="A6" s="20" t="s">
        <v>47</v>
      </c>
      <c r="B6" s="21">
        <f t="shared" ref="B6:W6" si="3">SUM(B2:B3)</f>
        <v>79310</v>
      </c>
      <c r="C6" s="21">
        <f t="shared" si="3"/>
        <v>101645</v>
      </c>
      <c r="D6" s="21">
        <f t="shared" si="3"/>
        <v>112442</v>
      </c>
      <c r="E6" s="21">
        <f t="shared" si="3"/>
        <v>119205</v>
      </c>
      <c r="F6" s="21">
        <f t="shared" si="3"/>
        <v>124231</v>
      </c>
      <c r="G6" s="21">
        <f t="shared" si="3"/>
        <v>126213</v>
      </c>
      <c r="H6" s="21">
        <f t="shared" si="3"/>
        <v>126213</v>
      </c>
      <c r="I6" s="21">
        <f t="shared" si="3"/>
        <v>126213</v>
      </c>
      <c r="J6" s="21">
        <f t="shared" si="3"/>
        <v>126213</v>
      </c>
      <c r="K6" s="21">
        <f t="shared" si="3"/>
        <v>128044</v>
      </c>
      <c r="L6" s="21">
        <f t="shared" si="3"/>
        <v>132020</v>
      </c>
      <c r="M6" s="21">
        <f t="shared" si="3"/>
        <v>133023</v>
      </c>
      <c r="N6" s="21">
        <f t="shared" si="3"/>
        <v>133023</v>
      </c>
      <c r="O6" s="21">
        <f t="shared" si="3"/>
        <v>133023</v>
      </c>
      <c r="P6" s="21">
        <f t="shared" si="3"/>
        <v>133023</v>
      </c>
      <c r="Q6" s="21">
        <f t="shared" si="3"/>
        <v>133023</v>
      </c>
      <c r="R6" s="21">
        <f t="shared" si="3"/>
        <v>133143</v>
      </c>
      <c r="S6" s="21">
        <f t="shared" si="3"/>
        <v>133143</v>
      </c>
      <c r="T6" s="21">
        <f t="shared" si="3"/>
        <v>133184</v>
      </c>
      <c r="U6" s="21">
        <f t="shared" si="3"/>
        <v>133184</v>
      </c>
      <c r="V6" s="21">
        <f t="shared" si="3"/>
        <v>133517</v>
      </c>
      <c r="W6" s="21">
        <f t="shared" si="3"/>
        <v>133556</v>
      </c>
    </row>
    <row r="7" spans="1:26" ht="14.25" x14ac:dyDescent="0.45">
      <c r="A7" s="20" t="s">
        <v>13</v>
      </c>
      <c r="B7" s="24">
        <f t="shared" ref="B7:U7" si="4">SUM(B8:B12)</f>
        <v>237007</v>
      </c>
      <c r="C7" s="24">
        <f t="shared" si="4"/>
        <v>237007</v>
      </c>
      <c r="D7" s="24">
        <f t="shared" si="4"/>
        <v>159072</v>
      </c>
      <c r="E7" s="24">
        <f t="shared" si="4"/>
        <v>84766</v>
      </c>
      <c r="F7" s="24">
        <f t="shared" si="4"/>
        <v>84766</v>
      </c>
      <c r="G7" s="21">
        <f t="shared" si="4"/>
        <v>64752</v>
      </c>
      <c r="H7" s="21">
        <f t="shared" si="4"/>
        <v>64752</v>
      </c>
      <c r="I7" s="21">
        <f t="shared" si="4"/>
        <v>64752</v>
      </c>
      <c r="J7" s="21">
        <f t="shared" si="4"/>
        <v>64752</v>
      </c>
      <c r="K7" s="21">
        <f t="shared" si="4"/>
        <v>39692</v>
      </c>
      <c r="L7" s="21">
        <f t="shared" si="4"/>
        <v>21792</v>
      </c>
      <c r="M7" s="21">
        <f t="shared" si="4"/>
        <v>6370</v>
      </c>
      <c r="N7" s="21">
        <f t="shared" si="4"/>
        <v>6370</v>
      </c>
      <c r="O7" s="21">
        <f t="shared" si="4"/>
        <v>6370</v>
      </c>
      <c r="P7" s="21">
        <f t="shared" si="4"/>
        <v>6370</v>
      </c>
      <c r="Q7" s="21">
        <f t="shared" si="4"/>
        <v>6370</v>
      </c>
      <c r="R7" s="21">
        <f t="shared" si="4"/>
        <v>3972</v>
      </c>
      <c r="S7" s="21">
        <f t="shared" si="4"/>
        <v>3972</v>
      </c>
      <c r="T7" s="21">
        <f t="shared" si="4"/>
        <v>3972</v>
      </c>
      <c r="U7" s="21">
        <f t="shared" si="4"/>
        <v>0</v>
      </c>
      <c r="V7" s="29">
        <v>0</v>
      </c>
      <c r="W7" s="29">
        <v>0</v>
      </c>
    </row>
    <row r="8" spans="1:26" ht="14.25" x14ac:dyDescent="0.45">
      <c r="A8" s="25" t="s">
        <v>48</v>
      </c>
      <c r="B8" s="26">
        <v>76700</v>
      </c>
      <c r="C8" s="26">
        <v>76700</v>
      </c>
      <c r="D8" s="26">
        <v>76700</v>
      </c>
      <c r="E8" s="26">
        <v>22200</v>
      </c>
      <c r="F8" s="26">
        <v>22200</v>
      </c>
      <c r="G8" s="30">
        <v>2600</v>
      </c>
      <c r="H8" s="30">
        <v>2600</v>
      </c>
      <c r="I8" s="30">
        <v>2600</v>
      </c>
      <c r="J8" s="30">
        <v>2600</v>
      </c>
      <c r="K8" s="30">
        <v>2600</v>
      </c>
      <c r="L8" s="30">
        <v>2600</v>
      </c>
      <c r="M8" s="30">
        <v>2600</v>
      </c>
      <c r="N8" s="30">
        <v>2600</v>
      </c>
      <c r="O8" s="30">
        <v>2600</v>
      </c>
      <c r="P8" s="30">
        <v>2600</v>
      </c>
      <c r="Q8" s="30">
        <v>2600</v>
      </c>
      <c r="R8" s="30">
        <v>2600</v>
      </c>
      <c r="S8" s="30">
        <v>2600</v>
      </c>
      <c r="T8" s="30">
        <v>2600</v>
      </c>
      <c r="U8" s="29">
        <v>0</v>
      </c>
      <c r="V8" s="29">
        <v>0</v>
      </c>
      <c r="W8" s="29">
        <v>0</v>
      </c>
    </row>
    <row r="9" spans="1:26" ht="14.25" x14ac:dyDescent="0.45">
      <c r="A9" s="25" t="s">
        <v>49</v>
      </c>
      <c r="B9" s="26">
        <v>11757</v>
      </c>
      <c r="C9" s="26">
        <v>11757</v>
      </c>
      <c r="D9" s="26">
        <v>11757</v>
      </c>
      <c r="E9" s="29">
        <v>614</v>
      </c>
      <c r="F9" s="29">
        <v>614</v>
      </c>
      <c r="G9" s="29">
        <v>200</v>
      </c>
      <c r="H9" s="29">
        <v>200</v>
      </c>
      <c r="I9" s="29">
        <v>200</v>
      </c>
      <c r="J9" s="29">
        <v>200</v>
      </c>
      <c r="K9" s="29">
        <v>200</v>
      </c>
      <c r="L9" s="29">
        <v>200</v>
      </c>
      <c r="M9" s="29">
        <v>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</row>
    <row r="10" spans="1:26" ht="14.25" x14ac:dyDescent="0.45">
      <c r="A10" s="25" t="s">
        <v>50</v>
      </c>
      <c r="B10" s="26">
        <v>22736</v>
      </c>
      <c r="C10" s="26">
        <v>22736</v>
      </c>
      <c r="D10" s="31">
        <v>1313</v>
      </c>
      <c r="E10" s="30">
        <v>1313</v>
      </c>
      <c r="F10" s="30">
        <v>1313</v>
      </c>
      <c r="G10" s="30">
        <v>1313</v>
      </c>
      <c r="H10" s="30">
        <v>1313</v>
      </c>
      <c r="I10" s="30">
        <v>1313</v>
      </c>
      <c r="J10" s="30">
        <v>1313</v>
      </c>
      <c r="K10" s="30">
        <v>1313</v>
      </c>
      <c r="L10" s="30">
        <v>1313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</row>
    <row r="11" spans="1:26" ht="14.25" x14ac:dyDescent="0.45">
      <c r="A11" s="25" t="s">
        <v>51</v>
      </c>
      <c r="B11" s="26">
        <v>85342</v>
      </c>
      <c r="C11" s="26">
        <v>85342</v>
      </c>
      <c r="D11" s="31">
        <v>28830</v>
      </c>
      <c r="E11" s="31">
        <v>28830</v>
      </c>
      <c r="F11" s="31">
        <v>28830</v>
      </c>
      <c r="G11" s="31">
        <v>28830</v>
      </c>
      <c r="H11" s="31">
        <v>28830</v>
      </c>
      <c r="I11" s="30">
        <v>28830</v>
      </c>
      <c r="J11" s="30">
        <v>28830</v>
      </c>
      <c r="K11" s="30">
        <v>3770</v>
      </c>
      <c r="L11" s="30">
        <v>3770</v>
      </c>
      <c r="M11" s="30">
        <v>3770</v>
      </c>
      <c r="N11" s="30">
        <v>3770</v>
      </c>
      <c r="O11" s="30">
        <v>3770</v>
      </c>
      <c r="P11" s="30">
        <v>3770</v>
      </c>
      <c r="Q11" s="30">
        <v>3770</v>
      </c>
      <c r="R11" s="30">
        <v>1372</v>
      </c>
      <c r="S11" s="30">
        <v>1372</v>
      </c>
      <c r="T11" s="30">
        <v>1372</v>
      </c>
      <c r="U11" s="29">
        <v>0</v>
      </c>
      <c r="V11" s="29">
        <v>0</v>
      </c>
      <c r="W11" s="29">
        <v>0</v>
      </c>
    </row>
    <row r="12" spans="1:26" ht="14.25" x14ac:dyDescent="0.45">
      <c r="A12" s="25" t="s">
        <v>52</v>
      </c>
      <c r="B12" s="26">
        <v>40472</v>
      </c>
      <c r="C12" s="26">
        <v>40472</v>
      </c>
      <c r="D12" s="26">
        <v>40472</v>
      </c>
      <c r="E12" s="30">
        <v>31809</v>
      </c>
      <c r="F12" s="30">
        <v>31809</v>
      </c>
      <c r="G12" s="30">
        <v>31809</v>
      </c>
      <c r="H12" s="30">
        <v>31809</v>
      </c>
      <c r="I12" s="30">
        <v>31809</v>
      </c>
      <c r="J12" s="30">
        <v>31809</v>
      </c>
      <c r="K12" s="30">
        <v>31809</v>
      </c>
      <c r="L12" s="30">
        <v>13909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</row>
    <row r="13" spans="1:26" ht="14.25" x14ac:dyDescent="0.45">
      <c r="A13" s="33"/>
    </row>
    <row r="14" spans="1:26" ht="14.25" x14ac:dyDescent="0.45">
      <c r="A14" s="33"/>
    </row>
    <row r="15" spans="1:26" ht="14.25" x14ac:dyDescent="0.45">
      <c r="A15" s="33"/>
    </row>
    <row r="16" spans="1:26" ht="14.25" x14ac:dyDescent="0.45">
      <c r="A16" s="33"/>
    </row>
    <row r="17" spans="1:26" ht="14.25" x14ac:dyDescent="0.45">
      <c r="A17" s="33"/>
    </row>
    <row r="18" spans="1:26" ht="14.25" x14ac:dyDescent="0.45">
      <c r="A18" s="33"/>
    </row>
    <row r="19" spans="1:26" ht="44.25" customHeight="1" x14ac:dyDescent="0.45">
      <c r="A19" s="34" t="s">
        <v>24</v>
      </c>
      <c r="B19" s="86" t="s">
        <v>53</v>
      </c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42"/>
      <c r="Q19" s="42"/>
      <c r="R19" s="42"/>
      <c r="S19" s="42"/>
      <c r="T19" s="42"/>
      <c r="U19" s="42"/>
    </row>
    <row r="20" spans="1:26" ht="15.75" customHeight="1" x14ac:dyDescent="0.45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</row>
    <row r="21" spans="1:26" ht="46.5" customHeight="1" x14ac:dyDescent="0.45">
      <c r="A21" s="85" t="s">
        <v>54</v>
      </c>
      <c r="B21" s="83"/>
      <c r="C21" s="83"/>
      <c r="D21" s="83"/>
      <c r="E21" s="83"/>
      <c r="F21" s="83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</row>
    <row r="22" spans="1:26" ht="15.75" customHeight="1" x14ac:dyDescent="0.45"/>
    <row r="23" spans="1:26" ht="15.75" customHeight="1" x14ac:dyDescent="0.45">
      <c r="A23" s="82" t="s">
        <v>55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36"/>
      <c r="W23" s="36"/>
      <c r="X23" s="36"/>
      <c r="Y23" s="36"/>
      <c r="Z23" s="36"/>
    </row>
    <row r="24" spans="1:26" ht="15.75" customHeight="1" x14ac:dyDescent="0.45"/>
    <row r="25" spans="1:26" ht="15.75" customHeight="1" x14ac:dyDescent="0.45">
      <c r="A25" s="82" t="s">
        <v>56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</row>
    <row r="26" spans="1:26" ht="15.75" customHeight="1" x14ac:dyDescent="0.45">
      <c r="A26" s="82" t="s">
        <v>57</v>
      </c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</row>
    <row r="27" spans="1:26" ht="15.75" customHeight="1" x14ac:dyDescent="0.45">
      <c r="A27" s="82" t="s">
        <v>58</v>
      </c>
      <c r="B27" s="83"/>
      <c r="C27" s="83"/>
      <c r="D27" s="83"/>
      <c r="E27" s="83"/>
      <c r="F27" s="83"/>
      <c r="G27" s="83"/>
      <c r="H27" s="83"/>
      <c r="I27" s="83"/>
      <c r="J27" s="83"/>
      <c r="K27" s="36"/>
      <c r="L27" s="36"/>
    </row>
    <row r="28" spans="1:26" ht="15.75" customHeight="1" x14ac:dyDescent="0.45">
      <c r="A28" s="82" t="s">
        <v>59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</row>
    <row r="29" spans="1:26" ht="15.75" customHeight="1" x14ac:dyDescent="0.45">
      <c r="A29" s="82" t="s">
        <v>60</v>
      </c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36"/>
      <c r="W29" s="36"/>
      <c r="X29" s="36"/>
      <c r="Y29" s="36"/>
      <c r="Z29" s="36"/>
    </row>
    <row r="30" spans="1:26" ht="15.75" customHeight="1" x14ac:dyDescent="0.45"/>
    <row r="31" spans="1:26" ht="15.75" customHeight="1" x14ac:dyDescent="0.45"/>
    <row r="32" spans="1:26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</sheetData>
  <mergeCells count="8">
    <mergeCell ref="A28:M28"/>
    <mergeCell ref="A29:U29"/>
    <mergeCell ref="A21:F21"/>
    <mergeCell ref="B19:O19"/>
    <mergeCell ref="A23:U23"/>
    <mergeCell ref="A25:M25"/>
    <mergeCell ref="A26:M26"/>
    <mergeCell ref="A27:J27"/>
  </mergeCells>
  <hyperlinks>
    <hyperlink ref="B19" r:id="rId1" xr:uid="{00000000-0004-0000-0100-000000000000}"/>
    <hyperlink ref="A23" r:id="rId2" xr:uid="{00000000-0004-0000-0100-000001000000}"/>
    <hyperlink ref="A25" r:id="rId3" location="/summary" xr:uid="{00000000-0004-0000-0100-000002000000}"/>
    <hyperlink ref="A26" r:id="rId4" location="/summary" xr:uid="{00000000-0004-0000-0100-000003000000}"/>
    <hyperlink ref="A27" r:id="rId5" xr:uid="{00000000-0004-0000-0100-000004000000}"/>
    <hyperlink ref="A28" r:id="rId6" xr:uid="{00000000-0004-0000-0100-000005000000}"/>
    <hyperlink ref="A29" r:id="rId7" xr:uid="{00000000-0004-0000-0100-000006000000}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2"/>
  <sheetViews>
    <sheetView workbookViewId="0"/>
  </sheetViews>
  <sheetFormatPr defaultColWidth="14.3984375" defaultRowHeight="15" customHeight="1" x14ac:dyDescent="0.45"/>
  <cols>
    <col min="1" max="1" width="24.73046875" customWidth="1"/>
    <col min="2" max="15" width="8.73046875" customWidth="1"/>
    <col min="16" max="16" width="7.3984375" customWidth="1"/>
    <col min="17" max="17" width="8.265625" customWidth="1"/>
    <col min="18" max="28" width="8.73046875" customWidth="1"/>
  </cols>
  <sheetData>
    <row r="1" spans="1:28" ht="28.5" x14ac:dyDescent="0.45">
      <c r="A1" s="1" t="s">
        <v>61</v>
      </c>
      <c r="B1" s="2">
        <v>44879</v>
      </c>
      <c r="C1" s="3">
        <v>44880</v>
      </c>
      <c r="D1" s="3">
        <v>44881</v>
      </c>
      <c r="E1" s="3">
        <v>44882</v>
      </c>
      <c r="F1" s="3">
        <v>44883</v>
      </c>
      <c r="G1" s="6" t="s">
        <v>62</v>
      </c>
      <c r="H1" s="5">
        <v>44886</v>
      </c>
      <c r="I1" s="6" t="s">
        <v>38</v>
      </c>
      <c r="J1" s="5">
        <v>44887</v>
      </c>
      <c r="K1" s="6" t="s">
        <v>63</v>
      </c>
      <c r="L1" s="5">
        <v>44888</v>
      </c>
      <c r="M1" s="5">
        <v>44889</v>
      </c>
      <c r="N1" s="5">
        <v>44893</v>
      </c>
      <c r="O1" s="6" t="s">
        <v>64</v>
      </c>
      <c r="P1" s="5">
        <v>44894</v>
      </c>
      <c r="Q1" s="6" t="s">
        <v>65</v>
      </c>
      <c r="R1" s="6" t="s">
        <v>66</v>
      </c>
      <c r="S1" s="7">
        <v>44896</v>
      </c>
      <c r="T1" s="7">
        <v>44897</v>
      </c>
      <c r="U1" s="6" t="s">
        <v>67</v>
      </c>
      <c r="V1" s="7">
        <v>44900</v>
      </c>
      <c r="W1" s="7">
        <v>44901</v>
      </c>
      <c r="X1" s="6" t="s">
        <v>68</v>
      </c>
      <c r="Y1" s="7">
        <v>44902</v>
      </c>
      <c r="Z1" s="7">
        <v>44903</v>
      </c>
      <c r="AA1" s="7">
        <v>44904</v>
      </c>
      <c r="AB1" s="8"/>
    </row>
    <row r="2" spans="1:28" ht="14.25" customHeight="1" x14ac:dyDescent="0.45">
      <c r="A2" s="9" t="s">
        <v>69</v>
      </c>
      <c r="B2" s="10">
        <v>29677</v>
      </c>
      <c r="C2" s="11">
        <v>30210</v>
      </c>
      <c r="D2" s="11">
        <v>35421</v>
      </c>
      <c r="E2" s="12">
        <v>37637</v>
      </c>
      <c r="F2" s="12">
        <v>39043</v>
      </c>
      <c r="G2" s="12">
        <v>40283</v>
      </c>
      <c r="H2" s="12">
        <v>44862</v>
      </c>
      <c r="I2" s="12">
        <v>44862</v>
      </c>
      <c r="J2" s="12">
        <v>51842</v>
      </c>
      <c r="K2" s="12">
        <v>51842</v>
      </c>
      <c r="L2" s="12">
        <v>51979</v>
      </c>
      <c r="M2" s="12">
        <v>52065</v>
      </c>
      <c r="N2" s="12">
        <v>52065</v>
      </c>
      <c r="O2" s="12">
        <v>52098</v>
      </c>
      <c r="P2" s="12">
        <v>52112</v>
      </c>
      <c r="Q2" s="12">
        <v>52112</v>
      </c>
      <c r="R2" s="12">
        <v>52129</v>
      </c>
      <c r="S2" s="12">
        <v>52472</v>
      </c>
      <c r="T2" s="12">
        <v>52472</v>
      </c>
      <c r="U2" s="12">
        <v>52472</v>
      </c>
      <c r="V2" s="12">
        <v>52849</v>
      </c>
      <c r="W2" s="12">
        <v>52849</v>
      </c>
      <c r="X2" s="12">
        <v>52849</v>
      </c>
      <c r="Y2" s="12">
        <v>52849</v>
      </c>
      <c r="Z2" s="12">
        <v>52849</v>
      </c>
      <c r="AA2" s="12">
        <v>52993</v>
      </c>
      <c r="AB2" s="13"/>
    </row>
    <row r="3" spans="1:28" ht="14.25" x14ac:dyDescent="0.45">
      <c r="A3" s="14" t="s">
        <v>70</v>
      </c>
      <c r="B3" s="15">
        <v>26799</v>
      </c>
      <c r="C3" s="16">
        <v>27147</v>
      </c>
      <c r="D3" s="16">
        <v>32142</v>
      </c>
      <c r="E3" s="17">
        <v>33672</v>
      </c>
      <c r="F3" s="17">
        <v>34598</v>
      </c>
      <c r="G3" s="17">
        <v>35530</v>
      </c>
      <c r="H3" s="17">
        <v>40315</v>
      </c>
      <c r="I3" s="17">
        <v>40315</v>
      </c>
      <c r="J3" s="17">
        <v>48461</v>
      </c>
      <c r="K3" s="17">
        <v>48461</v>
      </c>
      <c r="L3" s="17">
        <v>48589</v>
      </c>
      <c r="M3" s="17">
        <v>48709</v>
      </c>
      <c r="N3" s="17">
        <v>48709</v>
      </c>
      <c r="O3" s="17">
        <v>48759</v>
      </c>
      <c r="P3" s="17">
        <v>48765</v>
      </c>
      <c r="Q3" s="17">
        <v>48765</v>
      </c>
      <c r="R3" s="17">
        <v>48783</v>
      </c>
      <c r="S3" s="17">
        <v>49196</v>
      </c>
      <c r="T3" s="17">
        <v>49196</v>
      </c>
      <c r="U3" s="17">
        <v>49196</v>
      </c>
      <c r="V3" s="17">
        <v>49722</v>
      </c>
      <c r="W3" s="17">
        <v>49722</v>
      </c>
      <c r="X3" s="17">
        <v>49722</v>
      </c>
      <c r="Y3" s="17">
        <v>49722</v>
      </c>
      <c r="Z3" s="17">
        <v>49722</v>
      </c>
      <c r="AA3" s="17">
        <v>49859</v>
      </c>
      <c r="AB3" s="19"/>
    </row>
    <row r="4" spans="1:28" ht="14.25" x14ac:dyDescent="0.45">
      <c r="A4" s="20" t="s">
        <v>11</v>
      </c>
      <c r="B4" s="21">
        <f t="shared" ref="B4:AA4" si="0">B2-B3</f>
        <v>2878</v>
      </c>
      <c r="C4" s="21">
        <f t="shared" si="0"/>
        <v>3063</v>
      </c>
      <c r="D4" s="21">
        <f t="shared" si="0"/>
        <v>3279</v>
      </c>
      <c r="E4" s="21">
        <f t="shared" si="0"/>
        <v>3965</v>
      </c>
      <c r="F4" s="21">
        <f t="shared" si="0"/>
        <v>4445</v>
      </c>
      <c r="G4" s="21">
        <f t="shared" si="0"/>
        <v>4753</v>
      </c>
      <c r="H4" s="21">
        <f t="shared" si="0"/>
        <v>4547</v>
      </c>
      <c r="I4" s="21">
        <f t="shared" si="0"/>
        <v>4547</v>
      </c>
      <c r="J4" s="21">
        <f t="shared" si="0"/>
        <v>3381</v>
      </c>
      <c r="K4" s="21">
        <f t="shared" si="0"/>
        <v>3381</v>
      </c>
      <c r="L4" s="21">
        <f t="shared" si="0"/>
        <v>3390</v>
      </c>
      <c r="M4" s="21">
        <f t="shared" si="0"/>
        <v>3356</v>
      </c>
      <c r="N4" s="21">
        <f t="shared" si="0"/>
        <v>3356</v>
      </c>
      <c r="O4" s="21">
        <f t="shared" si="0"/>
        <v>3339</v>
      </c>
      <c r="P4" s="21">
        <f t="shared" si="0"/>
        <v>3347</v>
      </c>
      <c r="Q4" s="21">
        <f t="shared" si="0"/>
        <v>3347</v>
      </c>
      <c r="R4" s="21">
        <f t="shared" si="0"/>
        <v>3346</v>
      </c>
      <c r="S4" s="21">
        <f t="shared" si="0"/>
        <v>3276</v>
      </c>
      <c r="T4" s="21">
        <f t="shared" si="0"/>
        <v>3276</v>
      </c>
      <c r="U4" s="21">
        <f t="shared" si="0"/>
        <v>3276</v>
      </c>
      <c r="V4" s="21">
        <f t="shared" si="0"/>
        <v>3127</v>
      </c>
      <c r="W4" s="21">
        <f t="shared" si="0"/>
        <v>3127</v>
      </c>
      <c r="X4" s="21">
        <f t="shared" si="0"/>
        <v>3127</v>
      </c>
      <c r="Y4" s="21">
        <f t="shared" si="0"/>
        <v>3127</v>
      </c>
      <c r="Z4" s="21">
        <f t="shared" si="0"/>
        <v>3127</v>
      </c>
      <c r="AA4" s="21">
        <f t="shared" si="0"/>
        <v>3134</v>
      </c>
      <c r="AB4" s="22"/>
    </row>
    <row r="5" spans="1:28" ht="14.25" x14ac:dyDescent="0.45">
      <c r="A5" s="20" t="s">
        <v>12</v>
      </c>
      <c r="B5" s="23">
        <f t="shared" ref="B5:AA5" si="1">B4/SUM(B2:B3)</f>
        <v>5.0959699695445851E-2</v>
      </c>
      <c r="C5" s="23">
        <f t="shared" si="1"/>
        <v>5.3402374601182072E-2</v>
      </c>
      <c r="D5" s="23">
        <f t="shared" si="1"/>
        <v>4.8532480795701792E-2</v>
      </c>
      <c r="E5" s="23">
        <f t="shared" si="1"/>
        <v>5.5603079555175364E-2</v>
      </c>
      <c r="F5" s="23">
        <f t="shared" si="1"/>
        <v>6.0360397061419588E-2</v>
      </c>
      <c r="G5" s="23">
        <f t="shared" si="1"/>
        <v>6.269373326474352E-2</v>
      </c>
      <c r="H5" s="23">
        <f t="shared" si="1"/>
        <v>5.3382955492679948E-2</v>
      </c>
      <c r="I5" s="23">
        <f t="shared" si="1"/>
        <v>5.3382955492679948E-2</v>
      </c>
      <c r="J5" s="23">
        <f t="shared" si="1"/>
        <v>3.3707865168539325E-2</v>
      </c>
      <c r="K5" s="23">
        <f t="shared" si="1"/>
        <v>3.3707865168539325E-2</v>
      </c>
      <c r="L5" s="23">
        <f t="shared" si="1"/>
        <v>3.3708535518256304E-2</v>
      </c>
      <c r="M5" s="23">
        <f t="shared" si="1"/>
        <v>3.3302240657312403E-2</v>
      </c>
      <c r="N5" s="23">
        <f t="shared" si="1"/>
        <v>3.3302240657312403E-2</v>
      </c>
      <c r="O5" s="23">
        <f t="shared" si="1"/>
        <v>3.3106279187364286E-2</v>
      </c>
      <c r="P5" s="23">
        <f t="shared" si="1"/>
        <v>3.3179019994646945E-2</v>
      </c>
      <c r="Q5" s="23">
        <f t="shared" si="1"/>
        <v>3.3179019994646945E-2</v>
      </c>
      <c r="R5" s="23">
        <f t="shared" si="1"/>
        <v>3.3157602663706993E-2</v>
      </c>
      <c r="S5" s="23">
        <f t="shared" si="1"/>
        <v>3.222252822913798E-2</v>
      </c>
      <c r="T5" s="23">
        <f t="shared" si="1"/>
        <v>3.222252822913798E-2</v>
      </c>
      <c r="U5" s="23">
        <f t="shared" si="1"/>
        <v>3.222252822913798E-2</v>
      </c>
      <c r="V5" s="23">
        <f t="shared" si="1"/>
        <v>3.0486199803063243E-2</v>
      </c>
      <c r="W5" s="23">
        <f t="shared" si="1"/>
        <v>3.0486199803063243E-2</v>
      </c>
      <c r="X5" s="23">
        <f t="shared" si="1"/>
        <v>3.0486199803063243E-2</v>
      </c>
      <c r="Y5" s="23">
        <f t="shared" si="1"/>
        <v>3.0486199803063243E-2</v>
      </c>
      <c r="Z5" s="23">
        <f t="shared" si="1"/>
        <v>3.0486199803063243E-2</v>
      </c>
      <c r="AA5" s="23">
        <f t="shared" si="1"/>
        <v>3.0470967992844086E-2</v>
      </c>
      <c r="AB5" s="43"/>
    </row>
    <row r="6" spans="1:28" ht="14.25" x14ac:dyDescent="0.45">
      <c r="A6" s="20" t="s">
        <v>13</v>
      </c>
      <c r="B6" s="24">
        <f t="shared" ref="B6:AA6" si="2">SUM(B7:B9)</f>
        <v>108606</v>
      </c>
      <c r="C6" s="24">
        <f t="shared" si="2"/>
        <v>108606</v>
      </c>
      <c r="D6" s="24">
        <f t="shared" si="2"/>
        <v>104409</v>
      </c>
      <c r="E6" s="24">
        <f t="shared" si="2"/>
        <v>80808</v>
      </c>
      <c r="F6" s="24">
        <f t="shared" si="2"/>
        <v>69465</v>
      </c>
      <c r="G6" s="21">
        <f t="shared" si="2"/>
        <v>40557</v>
      </c>
      <c r="H6" s="21">
        <f t="shared" si="2"/>
        <v>40557</v>
      </c>
      <c r="I6" s="21">
        <f t="shared" si="2"/>
        <v>40557</v>
      </c>
      <c r="J6" s="21">
        <f t="shared" si="2"/>
        <v>40557</v>
      </c>
      <c r="K6" s="21">
        <f t="shared" si="2"/>
        <v>5001</v>
      </c>
      <c r="L6" s="21">
        <f t="shared" si="2"/>
        <v>5001</v>
      </c>
      <c r="M6" s="21">
        <f t="shared" si="2"/>
        <v>3726</v>
      </c>
      <c r="N6" s="21">
        <f t="shared" si="2"/>
        <v>3726</v>
      </c>
      <c r="O6" s="21">
        <f t="shared" si="2"/>
        <v>3702</v>
      </c>
      <c r="P6" s="21">
        <f t="shared" si="2"/>
        <v>3702</v>
      </c>
      <c r="Q6" s="21">
        <f t="shared" si="2"/>
        <v>3573</v>
      </c>
      <c r="R6" s="21">
        <f t="shared" si="2"/>
        <v>3573</v>
      </c>
      <c r="S6" s="21">
        <f t="shared" si="2"/>
        <v>3573</v>
      </c>
      <c r="T6" s="21">
        <f t="shared" si="2"/>
        <v>1517</v>
      </c>
      <c r="U6" s="21">
        <f t="shared" si="2"/>
        <v>100</v>
      </c>
      <c r="V6" s="21">
        <f t="shared" si="2"/>
        <v>100</v>
      </c>
      <c r="W6" s="21">
        <f t="shared" si="2"/>
        <v>100</v>
      </c>
      <c r="X6" s="21">
        <f t="shared" si="2"/>
        <v>100</v>
      </c>
      <c r="Y6" s="21">
        <f t="shared" si="2"/>
        <v>100</v>
      </c>
      <c r="Z6" s="21">
        <f t="shared" si="2"/>
        <v>100</v>
      </c>
      <c r="AA6" s="21">
        <f t="shared" si="2"/>
        <v>0</v>
      </c>
    </row>
    <row r="7" spans="1:28" ht="14.25" x14ac:dyDescent="0.45">
      <c r="A7" s="25" t="s">
        <v>71</v>
      </c>
      <c r="B7" s="26">
        <v>72428</v>
      </c>
      <c r="C7" s="26">
        <v>72428</v>
      </c>
      <c r="D7" s="26">
        <v>72428</v>
      </c>
      <c r="E7" s="30">
        <v>55380</v>
      </c>
      <c r="F7" s="30">
        <v>55380</v>
      </c>
      <c r="G7" s="30">
        <v>38174</v>
      </c>
      <c r="H7" s="30">
        <v>38174</v>
      </c>
      <c r="I7" s="30">
        <v>38174</v>
      </c>
      <c r="J7" s="30">
        <v>38174</v>
      </c>
      <c r="K7" s="30">
        <v>3376</v>
      </c>
      <c r="L7" s="30">
        <v>3376</v>
      </c>
      <c r="M7" s="30">
        <v>2776</v>
      </c>
      <c r="N7" s="30">
        <v>2776</v>
      </c>
      <c r="O7" s="30">
        <v>2776</v>
      </c>
      <c r="P7" s="30">
        <v>2776</v>
      </c>
      <c r="Q7" s="30">
        <v>2776</v>
      </c>
      <c r="R7" s="30">
        <v>2776</v>
      </c>
      <c r="S7" s="30">
        <v>2776</v>
      </c>
      <c r="T7" s="29">
        <v>720</v>
      </c>
      <c r="U7" s="29">
        <v>100</v>
      </c>
      <c r="V7" s="29">
        <v>100</v>
      </c>
      <c r="W7" s="29">
        <v>100</v>
      </c>
      <c r="X7" s="29">
        <v>100</v>
      </c>
      <c r="Y7" s="29">
        <v>100</v>
      </c>
      <c r="Z7" s="29">
        <v>100</v>
      </c>
      <c r="AA7" s="29">
        <v>0</v>
      </c>
    </row>
    <row r="8" spans="1:28" ht="14.25" x14ac:dyDescent="0.45">
      <c r="A8" s="25" t="s">
        <v>72</v>
      </c>
      <c r="B8" s="26">
        <v>409</v>
      </c>
      <c r="C8" s="26">
        <v>409</v>
      </c>
      <c r="D8" s="28">
        <v>24</v>
      </c>
      <c r="E8" s="29">
        <v>24</v>
      </c>
      <c r="F8" s="29">
        <v>24</v>
      </c>
      <c r="G8" s="29">
        <v>24</v>
      </c>
      <c r="H8" s="29">
        <v>24</v>
      </c>
      <c r="I8" s="29">
        <v>24</v>
      </c>
      <c r="J8" s="29">
        <v>24</v>
      </c>
      <c r="K8" s="29">
        <v>24</v>
      </c>
      <c r="L8" s="29">
        <v>24</v>
      </c>
      <c r="M8" s="29">
        <v>24</v>
      </c>
      <c r="N8" s="29">
        <v>24</v>
      </c>
      <c r="O8" s="29">
        <v>0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</row>
    <row r="9" spans="1:28" ht="14.25" x14ac:dyDescent="0.45">
      <c r="A9" s="25" t="s">
        <v>73</v>
      </c>
      <c r="B9" s="26">
        <v>35769</v>
      </c>
      <c r="C9" s="26">
        <v>35769</v>
      </c>
      <c r="D9" s="31">
        <v>31957</v>
      </c>
      <c r="E9" s="30">
        <v>25404</v>
      </c>
      <c r="F9" s="30">
        <v>14061</v>
      </c>
      <c r="G9" s="30">
        <v>2359</v>
      </c>
      <c r="H9" s="30">
        <v>2359</v>
      </c>
      <c r="I9" s="30">
        <v>2359</v>
      </c>
      <c r="J9" s="30">
        <v>2359</v>
      </c>
      <c r="K9" s="30">
        <v>1601</v>
      </c>
      <c r="L9" s="30">
        <v>1601</v>
      </c>
      <c r="M9" s="29">
        <v>926</v>
      </c>
      <c r="N9" s="29">
        <v>926</v>
      </c>
      <c r="O9" s="29">
        <v>926</v>
      </c>
      <c r="P9" s="29">
        <v>926</v>
      </c>
      <c r="Q9" s="29">
        <v>797</v>
      </c>
      <c r="R9" s="29">
        <v>797</v>
      </c>
      <c r="S9" s="29">
        <v>797</v>
      </c>
      <c r="T9" s="29">
        <v>797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</row>
    <row r="10" spans="1:28" ht="14.25" x14ac:dyDescent="0.45">
      <c r="A10" s="44"/>
      <c r="B10" s="45"/>
    </row>
    <row r="11" spans="1:28" ht="14.25" x14ac:dyDescent="0.45">
      <c r="A11" s="44"/>
      <c r="B11" s="45"/>
    </row>
    <row r="12" spans="1:28" ht="14.25" x14ac:dyDescent="0.45">
      <c r="A12" s="33"/>
    </row>
    <row r="13" spans="1:28" ht="14.25" x14ac:dyDescent="0.45">
      <c r="A13" s="33"/>
    </row>
    <row r="14" spans="1:28" ht="14.25" x14ac:dyDescent="0.45">
      <c r="A14" s="33"/>
    </row>
    <row r="15" spans="1:28" ht="14.25" x14ac:dyDescent="0.45">
      <c r="A15" s="33"/>
    </row>
    <row r="16" spans="1:28" ht="14.25" x14ac:dyDescent="0.45">
      <c r="A16" s="33"/>
    </row>
    <row r="17" spans="1:28" ht="14.25" x14ac:dyDescent="0.45">
      <c r="A17" s="33"/>
    </row>
    <row r="18" spans="1:28" ht="34.5" customHeight="1" x14ac:dyDescent="0.45">
      <c r="A18" s="34" t="s">
        <v>24</v>
      </c>
      <c r="B18" s="86" t="s">
        <v>74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42"/>
      <c r="O18" s="42"/>
      <c r="P18" s="42"/>
      <c r="Q18" s="42"/>
      <c r="R18" s="42"/>
      <c r="S18" s="42"/>
    </row>
    <row r="20" spans="1:28" ht="14.25" x14ac:dyDescent="0.45">
      <c r="A20" s="85" t="s">
        <v>75</v>
      </c>
      <c r="B20" s="83"/>
      <c r="C20" s="83"/>
      <c r="D20" s="83"/>
      <c r="E20" s="83"/>
      <c r="F20" s="83"/>
    </row>
    <row r="22" spans="1:28" ht="14.25" x14ac:dyDescent="0.45">
      <c r="A22" s="82" t="s">
        <v>76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</row>
    <row r="23" spans="1:28" ht="15.75" customHeight="1" x14ac:dyDescent="0.45"/>
    <row r="24" spans="1:28" ht="14.25" x14ac:dyDescent="0.45">
      <c r="A24" s="82" t="s">
        <v>77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</row>
    <row r="25" spans="1:28" ht="15.75" customHeight="1" x14ac:dyDescent="0.45">
      <c r="A25" s="82" t="s">
        <v>78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36"/>
      <c r="Y25" s="36"/>
      <c r="Z25" s="36"/>
      <c r="AA25" s="36"/>
      <c r="AB25" s="36"/>
    </row>
    <row r="26" spans="1:28" ht="15.75" customHeight="1" x14ac:dyDescent="0.45">
      <c r="A26" s="82" t="s">
        <v>79</v>
      </c>
      <c r="B26" s="83"/>
      <c r="C26" s="83"/>
      <c r="D26" s="83"/>
      <c r="E26" s="83"/>
      <c r="F26" s="83"/>
      <c r="G26" s="83"/>
      <c r="H26" s="83"/>
      <c r="I26" s="83"/>
      <c r="J26" s="83"/>
    </row>
    <row r="27" spans="1:28" ht="15.75" customHeight="1" x14ac:dyDescent="0.45"/>
    <row r="28" spans="1:28" ht="15.75" customHeight="1" x14ac:dyDescent="0.45"/>
    <row r="29" spans="1:28" ht="15.75" customHeight="1" x14ac:dyDescent="0.45"/>
    <row r="30" spans="1:28" ht="15.75" customHeight="1" x14ac:dyDescent="0.45"/>
    <row r="31" spans="1:28" ht="15.75" customHeight="1" x14ac:dyDescent="0.45"/>
    <row r="32" spans="1:28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</sheetData>
  <mergeCells count="6">
    <mergeCell ref="B18:M18"/>
    <mergeCell ref="A22:T22"/>
    <mergeCell ref="A24:L24"/>
    <mergeCell ref="A25:W25"/>
    <mergeCell ref="A26:J26"/>
    <mergeCell ref="A20:F20"/>
  </mergeCells>
  <hyperlinks>
    <hyperlink ref="B18" r:id="rId1" xr:uid="{00000000-0004-0000-0200-000000000000}"/>
    <hyperlink ref="A22" r:id="rId2" xr:uid="{00000000-0004-0000-0200-000001000000}"/>
    <hyperlink ref="A24" r:id="rId3" xr:uid="{00000000-0004-0000-0200-000002000000}"/>
    <hyperlink ref="A25" r:id="rId4" xr:uid="{00000000-0004-0000-0200-000003000000}"/>
    <hyperlink ref="A26" r:id="rId5" xr:uid="{00000000-0004-0000-0200-000004000000}"/>
  </hyperlink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1"/>
  <sheetViews>
    <sheetView workbookViewId="0">
      <selection activeCell="E10" sqref="E10"/>
    </sheetView>
  </sheetViews>
  <sheetFormatPr defaultColWidth="14.3984375" defaultRowHeight="15" customHeight="1" x14ac:dyDescent="0.45"/>
  <cols>
    <col min="1" max="1" width="27" customWidth="1"/>
    <col min="2" max="2" width="10.1328125" customWidth="1"/>
    <col min="3" max="16" width="8.73046875" customWidth="1"/>
    <col min="17" max="17" width="8.265625" customWidth="1"/>
    <col min="18" max="26" width="8.73046875" customWidth="1"/>
  </cols>
  <sheetData>
    <row r="1" spans="1:26" ht="28.5" x14ac:dyDescent="0.45">
      <c r="A1" s="1" t="s">
        <v>80</v>
      </c>
      <c r="B1" s="46">
        <v>44879</v>
      </c>
      <c r="C1" s="3">
        <v>44880</v>
      </c>
      <c r="D1" s="3">
        <v>44881</v>
      </c>
      <c r="E1" s="3">
        <v>44882</v>
      </c>
      <c r="F1" s="3">
        <v>44883</v>
      </c>
      <c r="G1" s="6" t="s">
        <v>81</v>
      </c>
      <c r="H1" s="5">
        <v>44886</v>
      </c>
      <c r="I1" s="38" t="s">
        <v>82</v>
      </c>
      <c r="J1" s="5">
        <v>44887</v>
      </c>
      <c r="K1" s="6" t="s">
        <v>83</v>
      </c>
      <c r="L1" s="5">
        <v>44888</v>
      </c>
      <c r="M1" s="5">
        <v>44889</v>
      </c>
      <c r="N1" s="5">
        <v>44893</v>
      </c>
      <c r="O1" s="38" t="s">
        <v>84</v>
      </c>
      <c r="P1" s="5">
        <v>44894</v>
      </c>
      <c r="Q1" s="6" t="s">
        <v>85</v>
      </c>
      <c r="R1" s="6" t="s">
        <v>66</v>
      </c>
      <c r="S1" s="7">
        <v>44896</v>
      </c>
      <c r="T1" s="7">
        <v>44897</v>
      </c>
      <c r="U1" s="6" t="s">
        <v>86</v>
      </c>
      <c r="V1" s="7">
        <v>44900</v>
      </c>
      <c r="W1" s="7">
        <v>44901</v>
      </c>
      <c r="X1" s="38" t="s">
        <v>87</v>
      </c>
      <c r="Y1" s="39"/>
      <c r="Z1" s="39"/>
    </row>
    <row r="2" spans="1:26" ht="14.25" x14ac:dyDescent="0.45">
      <c r="A2" s="9" t="s">
        <v>88</v>
      </c>
      <c r="B2" s="47">
        <v>76203</v>
      </c>
      <c r="C2" s="11">
        <v>81720</v>
      </c>
      <c r="D2" s="11">
        <v>85435</v>
      </c>
      <c r="E2" s="12">
        <v>89550</v>
      </c>
      <c r="F2" s="12">
        <v>94538</v>
      </c>
      <c r="G2" s="12">
        <v>99847</v>
      </c>
      <c r="H2" s="12">
        <v>104058</v>
      </c>
      <c r="I2" s="12">
        <v>104058</v>
      </c>
      <c r="J2" s="12">
        <v>104058</v>
      </c>
      <c r="K2" s="12">
        <v>104433</v>
      </c>
      <c r="L2" s="12">
        <v>104433</v>
      </c>
      <c r="M2" s="12">
        <v>104433</v>
      </c>
      <c r="N2" s="12">
        <v>104433</v>
      </c>
      <c r="O2" s="12">
        <v>104433</v>
      </c>
      <c r="P2" s="12">
        <v>104433</v>
      </c>
      <c r="Q2" s="12">
        <v>104536</v>
      </c>
      <c r="R2" s="12">
        <v>104536</v>
      </c>
      <c r="S2" s="12">
        <v>104536</v>
      </c>
      <c r="T2" s="12">
        <v>104536</v>
      </c>
      <c r="U2" s="12">
        <v>104567</v>
      </c>
      <c r="V2" s="12">
        <v>104567</v>
      </c>
      <c r="W2" s="12">
        <v>104624</v>
      </c>
      <c r="X2" s="12">
        <v>104624</v>
      </c>
      <c r="Y2" s="40"/>
      <c r="Z2" s="40"/>
    </row>
    <row r="3" spans="1:26" ht="14.25" x14ac:dyDescent="0.45">
      <c r="A3" s="14" t="s">
        <v>89</v>
      </c>
      <c r="B3" s="48">
        <v>61342</v>
      </c>
      <c r="C3" s="16">
        <v>68553</v>
      </c>
      <c r="D3" s="16">
        <v>72301</v>
      </c>
      <c r="E3" s="17">
        <v>75704</v>
      </c>
      <c r="F3" s="17">
        <v>80614</v>
      </c>
      <c r="G3" s="17">
        <v>85980</v>
      </c>
      <c r="H3" s="17">
        <v>91301</v>
      </c>
      <c r="I3" s="17">
        <v>91301</v>
      </c>
      <c r="J3" s="17">
        <v>91301</v>
      </c>
      <c r="K3" s="17">
        <v>91669</v>
      </c>
      <c r="L3" s="17">
        <v>91669</v>
      </c>
      <c r="M3" s="17">
        <v>91669</v>
      </c>
      <c r="N3" s="17">
        <v>91669</v>
      </c>
      <c r="O3" s="17">
        <v>91669</v>
      </c>
      <c r="P3" s="17">
        <v>91669</v>
      </c>
      <c r="Q3" s="17">
        <v>91782</v>
      </c>
      <c r="R3" s="17">
        <v>91782</v>
      </c>
      <c r="S3" s="17">
        <v>91782</v>
      </c>
      <c r="T3" s="17">
        <v>91782</v>
      </c>
      <c r="U3" s="17">
        <v>91841</v>
      </c>
      <c r="V3" s="17">
        <v>91841</v>
      </c>
      <c r="W3" s="17">
        <v>91892</v>
      </c>
      <c r="X3" s="17">
        <v>91892</v>
      </c>
      <c r="Y3" s="41"/>
      <c r="Z3" s="41"/>
    </row>
    <row r="4" spans="1:26" ht="14.25" x14ac:dyDescent="0.45">
      <c r="A4" s="20" t="s">
        <v>11</v>
      </c>
      <c r="B4" s="21">
        <f t="shared" ref="B4:X4" si="0">B2-B3</f>
        <v>14861</v>
      </c>
      <c r="C4" s="21">
        <f t="shared" si="0"/>
        <v>13167</v>
      </c>
      <c r="D4" s="21">
        <f t="shared" si="0"/>
        <v>13134</v>
      </c>
      <c r="E4" s="21">
        <f t="shared" si="0"/>
        <v>13846</v>
      </c>
      <c r="F4" s="21">
        <f t="shared" si="0"/>
        <v>13924</v>
      </c>
      <c r="G4" s="21">
        <f t="shared" si="0"/>
        <v>13867</v>
      </c>
      <c r="H4" s="21">
        <f t="shared" si="0"/>
        <v>12757</v>
      </c>
      <c r="I4" s="21">
        <f t="shared" si="0"/>
        <v>12757</v>
      </c>
      <c r="J4" s="21">
        <f t="shared" si="0"/>
        <v>12757</v>
      </c>
      <c r="K4" s="21">
        <f t="shared" si="0"/>
        <v>12764</v>
      </c>
      <c r="L4" s="21">
        <f t="shared" si="0"/>
        <v>12764</v>
      </c>
      <c r="M4" s="21">
        <f t="shared" si="0"/>
        <v>12764</v>
      </c>
      <c r="N4" s="21">
        <f t="shared" si="0"/>
        <v>12764</v>
      </c>
      <c r="O4" s="21">
        <f t="shared" si="0"/>
        <v>12764</v>
      </c>
      <c r="P4" s="21">
        <f t="shared" si="0"/>
        <v>12764</v>
      </c>
      <c r="Q4" s="21">
        <f t="shared" si="0"/>
        <v>12754</v>
      </c>
      <c r="R4" s="21">
        <f t="shared" si="0"/>
        <v>12754</v>
      </c>
      <c r="S4" s="21">
        <f t="shared" si="0"/>
        <v>12754</v>
      </c>
      <c r="T4" s="21">
        <f t="shared" si="0"/>
        <v>12754</v>
      </c>
      <c r="U4" s="21">
        <f t="shared" si="0"/>
        <v>12726</v>
      </c>
      <c r="V4" s="21">
        <f t="shared" si="0"/>
        <v>12726</v>
      </c>
      <c r="W4" s="21">
        <f t="shared" si="0"/>
        <v>12732</v>
      </c>
      <c r="X4" s="21">
        <f t="shared" si="0"/>
        <v>12732</v>
      </c>
    </row>
    <row r="5" spans="1:26" ht="14.25" x14ac:dyDescent="0.45">
      <c r="A5" s="20" t="s">
        <v>12</v>
      </c>
      <c r="B5" s="23">
        <f t="shared" ref="B5:X5" si="1">B4/SUM(B2:B3)</f>
        <v>0.10804463993602094</v>
      </c>
      <c r="C5" s="23">
        <f t="shared" si="1"/>
        <v>8.7620530634245672E-2</v>
      </c>
      <c r="D5" s="23">
        <f t="shared" si="1"/>
        <v>8.326570979357914E-2</v>
      </c>
      <c r="E5" s="23">
        <f t="shared" si="1"/>
        <v>8.3786171590400235E-2</v>
      </c>
      <c r="F5" s="23">
        <f t="shared" si="1"/>
        <v>7.9496665753174392E-2</v>
      </c>
      <c r="G5" s="23">
        <f t="shared" si="1"/>
        <v>7.4623171013900022E-2</v>
      </c>
      <c r="H5" s="23">
        <f t="shared" si="1"/>
        <v>6.5300293306169668E-2</v>
      </c>
      <c r="I5" s="23">
        <f t="shared" si="1"/>
        <v>6.5300293306169668E-2</v>
      </c>
      <c r="J5" s="23">
        <f t="shared" si="1"/>
        <v>6.5300293306169668E-2</v>
      </c>
      <c r="K5" s="23">
        <f t="shared" si="1"/>
        <v>6.508857635312236E-2</v>
      </c>
      <c r="L5" s="23">
        <f t="shared" si="1"/>
        <v>6.508857635312236E-2</v>
      </c>
      <c r="M5" s="23">
        <f t="shared" si="1"/>
        <v>6.508857635312236E-2</v>
      </c>
      <c r="N5" s="23">
        <f t="shared" si="1"/>
        <v>6.508857635312236E-2</v>
      </c>
      <c r="O5" s="23">
        <f t="shared" si="1"/>
        <v>6.508857635312236E-2</v>
      </c>
      <c r="P5" s="23">
        <f t="shared" si="1"/>
        <v>6.508857635312236E-2</v>
      </c>
      <c r="Q5" s="23">
        <f t="shared" si="1"/>
        <v>6.4966024511252149E-2</v>
      </c>
      <c r="R5" s="23">
        <f t="shared" si="1"/>
        <v>6.4966024511252149E-2</v>
      </c>
      <c r="S5" s="23">
        <f t="shared" si="1"/>
        <v>6.4966024511252149E-2</v>
      </c>
      <c r="T5" s="23">
        <f t="shared" si="1"/>
        <v>6.4966024511252149E-2</v>
      </c>
      <c r="U5" s="23">
        <f t="shared" si="1"/>
        <v>6.4793694757851003E-2</v>
      </c>
      <c r="V5" s="23">
        <f t="shared" si="1"/>
        <v>6.4793694757851003E-2</v>
      </c>
      <c r="W5" s="23">
        <f t="shared" si="1"/>
        <v>6.4788617720694497E-2</v>
      </c>
      <c r="X5" s="23">
        <f t="shared" si="1"/>
        <v>6.4788617720694497E-2</v>
      </c>
    </row>
    <row r="6" spans="1:26" ht="14.25" x14ac:dyDescent="0.45">
      <c r="A6" s="20" t="s">
        <v>13</v>
      </c>
      <c r="B6" s="21">
        <v>1006300</v>
      </c>
      <c r="C6" s="24">
        <v>1006300</v>
      </c>
      <c r="D6" s="31">
        <v>655300</v>
      </c>
      <c r="E6" s="31">
        <v>463050</v>
      </c>
      <c r="F6" s="31">
        <v>463050</v>
      </c>
      <c r="G6" s="30">
        <v>332550</v>
      </c>
      <c r="H6" s="30">
        <v>332550</v>
      </c>
      <c r="I6" s="30">
        <v>332550</v>
      </c>
      <c r="J6" s="30">
        <v>25250</v>
      </c>
      <c r="K6" s="30">
        <v>25250</v>
      </c>
      <c r="L6" s="30">
        <v>25250</v>
      </c>
      <c r="M6" s="30">
        <v>15105</v>
      </c>
      <c r="N6" s="30">
        <v>15105</v>
      </c>
      <c r="O6" s="30">
        <v>15105</v>
      </c>
      <c r="P6" s="30">
        <v>15105</v>
      </c>
      <c r="Q6" s="30">
        <v>15105</v>
      </c>
      <c r="R6" s="30">
        <v>11405</v>
      </c>
      <c r="S6" s="30">
        <v>11405</v>
      </c>
      <c r="T6" s="30">
        <v>11405</v>
      </c>
      <c r="U6" s="30">
        <v>11405</v>
      </c>
      <c r="V6" s="30">
        <v>11405</v>
      </c>
      <c r="W6" s="30">
        <v>0</v>
      </c>
      <c r="X6" s="29">
        <v>0</v>
      </c>
    </row>
    <row r="7" spans="1:26" ht="14.25" x14ac:dyDescent="0.45">
      <c r="A7" s="25" t="s">
        <v>90</v>
      </c>
      <c r="B7" s="21">
        <v>1006300</v>
      </c>
      <c r="C7" s="24">
        <v>1006300</v>
      </c>
      <c r="D7" s="31">
        <v>655300</v>
      </c>
      <c r="E7" s="31">
        <v>463050</v>
      </c>
      <c r="F7" s="31">
        <v>463050</v>
      </c>
      <c r="G7" s="30">
        <v>332550</v>
      </c>
      <c r="H7" s="30">
        <v>332550</v>
      </c>
      <c r="I7" s="30">
        <v>332550</v>
      </c>
      <c r="J7" s="30">
        <v>25250</v>
      </c>
      <c r="K7" s="30">
        <v>25250</v>
      </c>
      <c r="L7" s="30">
        <v>25250</v>
      </c>
      <c r="M7" s="30">
        <v>15105</v>
      </c>
      <c r="N7" s="30">
        <v>15105</v>
      </c>
      <c r="O7" s="30">
        <v>15105</v>
      </c>
      <c r="P7" s="30">
        <v>15105</v>
      </c>
      <c r="Q7" s="30">
        <v>15105</v>
      </c>
      <c r="R7" s="30">
        <v>11405</v>
      </c>
      <c r="S7" s="30">
        <v>11405</v>
      </c>
      <c r="T7" s="30">
        <v>11405</v>
      </c>
      <c r="U7" s="30">
        <v>11405</v>
      </c>
      <c r="V7" s="30">
        <v>11405</v>
      </c>
      <c r="W7" s="30">
        <v>0</v>
      </c>
      <c r="X7" s="29">
        <v>0</v>
      </c>
    </row>
    <row r="8" spans="1:26" ht="14.25" x14ac:dyDescent="0.45">
      <c r="A8" s="44"/>
      <c r="B8" s="22"/>
    </row>
    <row r="9" spans="1:26" ht="14.25" x14ac:dyDescent="0.45">
      <c r="A9" s="33"/>
      <c r="B9" s="49"/>
    </row>
    <row r="10" spans="1:26" ht="14.25" x14ac:dyDescent="0.45">
      <c r="A10" s="33"/>
      <c r="B10" s="49"/>
    </row>
    <row r="11" spans="1:26" ht="14.25" x14ac:dyDescent="0.45">
      <c r="A11" s="33"/>
      <c r="B11" s="49"/>
    </row>
    <row r="12" spans="1:26" ht="14.25" x14ac:dyDescent="0.45">
      <c r="A12" s="33"/>
      <c r="B12" s="49"/>
    </row>
    <row r="13" spans="1:26" ht="14.25" x14ac:dyDescent="0.45">
      <c r="A13" s="33"/>
      <c r="B13" s="49"/>
    </row>
    <row r="14" spans="1:26" ht="14.25" x14ac:dyDescent="0.45">
      <c r="A14" s="33"/>
      <c r="B14" s="49"/>
    </row>
    <row r="15" spans="1:26" ht="14.25" x14ac:dyDescent="0.45">
      <c r="A15" s="33"/>
      <c r="B15" s="49"/>
    </row>
    <row r="16" spans="1:26" ht="14.25" x14ac:dyDescent="0.45">
      <c r="A16" s="33"/>
      <c r="B16" s="49"/>
    </row>
    <row r="17" spans="1:18" ht="14.25" x14ac:dyDescent="0.45">
      <c r="A17" s="33"/>
      <c r="B17" s="49"/>
    </row>
    <row r="18" spans="1:18" ht="32.25" customHeight="1" x14ac:dyDescent="0.45">
      <c r="A18" s="34" t="s">
        <v>91</v>
      </c>
      <c r="B18" s="87" t="s">
        <v>92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</row>
    <row r="19" spans="1:18" ht="14.25" x14ac:dyDescent="0.45">
      <c r="B19" s="49"/>
    </row>
    <row r="20" spans="1:18" ht="14.25" x14ac:dyDescent="0.45">
      <c r="A20" s="85" t="s">
        <v>93</v>
      </c>
      <c r="B20" s="83"/>
      <c r="C20" s="83"/>
      <c r="D20" s="83"/>
      <c r="E20" s="83"/>
      <c r="F20" s="83"/>
    </row>
    <row r="21" spans="1:18" ht="14.25" x14ac:dyDescent="0.45">
      <c r="B21" s="49"/>
    </row>
    <row r="22" spans="1:18" ht="14.25" x14ac:dyDescent="0.45">
      <c r="A22" s="82" t="s">
        <v>94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</row>
    <row r="23" spans="1:18" ht="15.75" customHeight="1" x14ac:dyDescent="0.45">
      <c r="B23" s="49"/>
    </row>
    <row r="24" spans="1:18" ht="15.75" customHeight="1" x14ac:dyDescent="0.45">
      <c r="A24" s="82" t="s">
        <v>95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</row>
    <row r="25" spans="1:18" ht="15.75" customHeight="1" x14ac:dyDescent="0.45">
      <c r="B25" s="49"/>
    </row>
    <row r="26" spans="1:18" ht="15.75" customHeight="1" x14ac:dyDescent="0.45">
      <c r="B26" s="49"/>
    </row>
    <row r="27" spans="1:18" ht="15.75" customHeight="1" x14ac:dyDescent="0.45">
      <c r="B27" s="49"/>
    </row>
    <row r="28" spans="1:18" ht="15.75" customHeight="1" x14ac:dyDescent="0.45">
      <c r="B28" s="49"/>
    </row>
    <row r="29" spans="1:18" ht="15.75" customHeight="1" x14ac:dyDescent="0.45">
      <c r="B29" s="49"/>
    </row>
    <row r="30" spans="1:18" ht="15.75" customHeight="1" x14ac:dyDescent="0.45">
      <c r="B30" s="49"/>
    </row>
    <row r="31" spans="1:18" ht="15.75" customHeight="1" x14ac:dyDescent="0.45">
      <c r="B31" s="49"/>
    </row>
    <row r="32" spans="1:18" ht="15.75" customHeight="1" x14ac:dyDescent="0.45">
      <c r="B32" s="49"/>
    </row>
    <row r="33" spans="2:2" ht="15.75" customHeight="1" x14ac:dyDescent="0.45">
      <c r="B33" s="49"/>
    </row>
    <row r="34" spans="2:2" ht="15.75" customHeight="1" x14ac:dyDescent="0.45">
      <c r="B34" s="49"/>
    </row>
    <row r="35" spans="2:2" ht="15.75" customHeight="1" x14ac:dyDescent="0.45">
      <c r="B35" s="49"/>
    </row>
    <row r="36" spans="2:2" ht="15.75" customHeight="1" x14ac:dyDescent="0.45">
      <c r="B36" s="49"/>
    </row>
    <row r="37" spans="2:2" ht="15.75" customHeight="1" x14ac:dyDescent="0.45">
      <c r="B37" s="49"/>
    </row>
    <row r="38" spans="2:2" ht="15.75" customHeight="1" x14ac:dyDescent="0.45">
      <c r="B38" s="49"/>
    </row>
    <row r="39" spans="2:2" ht="15.75" customHeight="1" x14ac:dyDescent="0.45">
      <c r="B39" s="49"/>
    </row>
    <row r="40" spans="2:2" ht="15.75" customHeight="1" x14ac:dyDescent="0.45">
      <c r="B40" s="49"/>
    </row>
    <row r="41" spans="2:2" ht="15.75" customHeight="1" x14ac:dyDescent="0.45">
      <c r="B41" s="49"/>
    </row>
    <row r="42" spans="2:2" ht="15.75" customHeight="1" x14ac:dyDescent="0.45">
      <c r="B42" s="49"/>
    </row>
    <row r="43" spans="2:2" ht="15.75" customHeight="1" x14ac:dyDescent="0.45">
      <c r="B43" s="49"/>
    </row>
    <row r="44" spans="2:2" ht="15.75" customHeight="1" x14ac:dyDescent="0.45">
      <c r="B44" s="49"/>
    </row>
    <row r="45" spans="2:2" ht="15.75" customHeight="1" x14ac:dyDescent="0.45">
      <c r="B45" s="49"/>
    </row>
    <row r="46" spans="2:2" ht="15.75" customHeight="1" x14ac:dyDescent="0.45">
      <c r="B46" s="49"/>
    </row>
    <row r="47" spans="2:2" ht="15.75" customHeight="1" x14ac:dyDescent="0.45">
      <c r="B47" s="49"/>
    </row>
    <row r="48" spans="2:2" ht="15.75" customHeight="1" x14ac:dyDescent="0.45">
      <c r="B48" s="49"/>
    </row>
    <row r="49" spans="2:2" ht="15.75" customHeight="1" x14ac:dyDescent="0.45">
      <c r="B49" s="49"/>
    </row>
    <row r="50" spans="2:2" ht="15.75" customHeight="1" x14ac:dyDescent="0.45">
      <c r="B50" s="49"/>
    </row>
    <row r="51" spans="2:2" ht="15.75" customHeight="1" x14ac:dyDescent="0.45">
      <c r="B51" s="49"/>
    </row>
    <row r="52" spans="2:2" ht="15.75" customHeight="1" x14ac:dyDescent="0.45">
      <c r="B52" s="49"/>
    </row>
    <row r="53" spans="2:2" ht="15.75" customHeight="1" x14ac:dyDescent="0.45">
      <c r="B53" s="49"/>
    </row>
    <row r="54" spans="2:2" ht="15.75" customHeight="1" x14ac:dyDescent="0.45">
      <c r="B54" s="49"/>
    </row>
    <row r="55" spans="2:2" ht="15.75" customHeight="1" x14ac:dyDescent="0.45">
      <c r="B55" s="49"/>
    </row>
    <row r="56" spans="2:2" ht="15.75" customHeight="1" x14ac:dyDescent="0.45">
      <c r="B56" s="49"/>
    </row>
    <row r="57" spans="2:2" ht="15.75" customHeight="1" x14ac:dyDescent="0.45">
      <c r="B57" s="49"/>
    </row>
    <row r="58" spans="2:2" ht="15.75" customHeight="1" x14ac:dyDescent="0.45">
      <c r="B58" s="49"/>
    </row>
    <row r="59" spans="2:2" ht="15.75" customHeight="1" x14ac:dyDescent="0.45">
      <c r="B59" s="49"/>
    </row>
    <row r="60" spans="2:2" ht="15.75" customHeight="1" x14ac:dyDescent="0.45">
      <c r="B60" s="49"/>
    </row>
    <row r="61" spans="2:2" ht="15.75" customHeight="1" x14ac:dyDescent="0.45">
      <c r="B61" s="49"/>
    </row>
    <row r="62" spans="2:2" ht="15.75" customHeight="1" x14ac:dyDescent="0.45">
      <c r="B62" s="49"/>
    </row>
    <row r="63" spans="2:2" ht="15.75" customHeight="1" x14ac:dyDescent="0.45">
      <c r="B63" s="49"/>
    </row>
    <row r="64" spans="2:2" ht="15.75" customHeight="1" x14ac:dyDescent="0.45">
      <c r="B64" s="49"/>
    </row>
    <row r="65" spans="2:2" ht="15.75" customHeight="1" x14ac:dyDescent="0.45">
      <c r="B65" s="49"/>
    </row>
    <row r="66" spans="2:2" ht="15.75" customHeight="1" x14ac:dyDescent="0.45">
      <c r="B66" s="49"/>
    </row>
    <row r="67" spans="2:2" ht="15.75" customHeight="1" x14ac:dyDescent="0.45">
      <c r="B67" s="49"/>
    </row>
    <row r="68" spans="2:2" ht="15.75" customHeight="1" x14ac:dyDescent="0.45">
      <c r="B68" s="49"/>
    </row>
    <row r="69" spans="2:2" ht="15.75" customHeight="1" x14ac:dyDescent="0.45">
      <c r="B69" s="49"/>
    </row>
    <row r="70" spans="2:2" ht="15.75" customHeight="1" x14ac:dyDescent="0.45">
      <c r="B70" s="49"/>
    </row>
    <row r="71" spans="2:2" ht="15.75" customHeight="1" x14ac:dyDescent="0.45">
      <c r="B71" s="49"/>
    </row>
    <row r="72" spans="2:2" ht="15.75" customHeight="1" x14ac:dyDescent="0.45">
      <c r="B72" s="49"/>
    </row>
    <row r="73" spans="2:2" ht="15.75" customHeight="1" x14ac:dyDescent="0.45">
      <c r="B73" s="49"/>
    </row>
    <row r="74" spans="2:2" ht="15.75" customHeight="1" x14ac:dyDescent="0.45">
      <c r="B74" s="49"/>
    </row>
    <row r="75" spans="2:2" ht="15.75" customHeight="1" x14ac:dyDescent="0.45">
      <c r="B75" s="49"/>
    </row>
    <row r="76" spans="2:2" ht="15.75" customHeight="1" x14ac:dyDescent="0.45">
      <c r="B76" s="49"/>
    </row>
    <row r="77" spans="2:2" ht="15.75" customHeight="1" x14ac:dyDescent="0.45">
      <c r="B77" s="49"/>
    </row>
    <row r="78" spans="2:2" ht="15.75" customHeight="1" x14ac:dyDescent="0.45">
      <c r="B78" s="49"/>
    </row>
    <row r="79" spans="2:2" ht="15.75" customHeight="1" x14ac:dyDescent="0.45">
      <c r="B79" s="49"/>
    </row>
    <row r="80" spans="2:2" ht="15.75" customHeight="1" x14ac:dyDescent="0.45">
      <c r="B80" s="49"/>
    </row>
    <row r="81" spans="2:2" ht="15.75" customHeight="1" x14ac:dyDescent="0.45">
      <c r="B81" s="49"/>
    </row>
    <row r="82" spans="2:2" ht="15.75" customHeight="1" x14ac:dyDescent="0.45">
      <c r="B82" s="49"/>
    </row>
    <row r="83" spans="2:2" ht="15.75" customHeight="1" x14ac:dyDescent="0.45">
      <c r="B83" s="49"/>
    </row>
    <row r="84" spans="2:2" ht="15.75" customHeight="1" x14ac:dyDescent="0.45">
      <c r="B84" s="49"/>
    </row>
    <row r="85" spans="2:2" ht="15.75" customHeight="1" x14ac:dyDescent="0.45">
      <c r="B85" s="49"/>
    </row>
    <row r="86" spans="2:2" ht="15.75" customHeight="1" x14ac:dyDescent="0.45">
      <c r="B86" s="49"/>
    </row>
    <row r="87" spans="2:2" ht="15.75" customHeight="1" x14ac:dyDescent="0.45">
      <c r="B87" s="49"/>
    </row>
    <row r="88" spans="2:2" ht="15.75" customHeight="1" x14ac:dyDescent="0.45">
      <c r="B88" s="49"/>
    </row>
    <row r="89" spans="2:2" ht="15.75" customHeight="1" x14ac:dyDescent="0.45">
      <c r="B89" s="49"/>
    </row>
    <row r="90" spans="2:2" ht="15.75" customHeight="1" x14ac:dyDescent="0.45">
      <c r="B90" s="49"/>
    </row>
    <row r="91" spans="2:2" ht="15.75" customHeight="1" x14ac:dyDescent="0.45">
      <c r="B91" s="49"/>
    </row>
    <row r="92" spans="2:2" ht="15.75" customHeight="1" x14ac:dyDescent="0.45">
      <c r="B92" s="49"/>
    </row>
    <row r="93" spans="2:2" ht="15.75" customHeight="1" x14ac:dyDescent="0.45">
      <c r="B93" s="49"/>
    </row>
    <row r="94" spans="2:2" ht="15.75" customHeight="1" x14ac:dyDescent="0.45">
      <c r="B94" s="49"/>
    </row>
    <row r="95" spans="2:2" ht="15.75" customHeight="1" x14ac:dyDescent="0.45">
      <c r="B95" s="49"/>
    </row>
    <row r="96" spans="2:2" ht="15.75" customHeight="1" x14ac:dyDescent="0.45">
      <c r="B96" s="49"/>
    </row>
    <row r="97" spans="2:2" ht="15.75" customHeight="1" x14ac:dyDescent="0.45">
      <c r="B97" s="49"/>
    </row>
    <row r="98" spans="2:2" ht="15.75" customHeight="1" x14ac:dyDescent="0.45">
      <c r="B98" s="49"/>
    </row>
    <row r="99" spans="2:2" ht="15.75" customHeight="1" x14ac:dyDescent="0.45">
      <c r="B99" s="49"/>
    </row>
    <row r="100" spans="2:2" ht="15.75" customHeight="1" x14ac:dyDescent="0.45">
      <c r="B100" s="49"/>
    </row>
    <row r="101" spans="2:2" ht="15.75" customHeight="1" x14ac:dyDescent="0.45">
      <c r="B101" s="49"/>
    </row>
    <row r="102" spans="2:2" ht="15.75" customHeight="1" x14ac:dyDescent="0.45">
      <c r="B102" s="49"/>
    </row>
    <row r="103" spans="2:2" ht="15.75" customHeight="1" x14ac:dyDescent="0.45">
      <c r="B103" s="49"/>
    </row>
    <row r="104" spans="2:2" ht="15.75" customHeight="1" x14ac:dyDescent="0.45">
      <c r="B104" s="49"/>
    </row>
    <row r="105" spans="2:2" ht="15.75" customHeight="1" x14ac:dyDescent="0.45">
      <c r="B105" s="49"/>
    </row>
    <row r="106" spans="2:2" ht="15.75" customHeight="1" x14ac:dyDescent="0.45">
      <c r="B106" s="49"/>
    </row>
    <row r="107" spans="2:2" ht="15.75" customHeight="1" x14ac:dyDescent="0.45">
      <c r="B107" s="49"/>
    </row>
    <row r="108" spans="2:2" ht="15.75" customHeight="1" x14ac:dyDescent="0.45">
      <c r="B108" s="49"/>
    </row>
    <row r="109" spans="2:2" ht="15.75" customHeight="1" x14ac:dyDescent="0.45">
      <c r="B109" s="49"/>
    </row>
    <row r="110" spans="2:2" ht="15.75" customHeight="1" x14ac:dyDescent="0.45">
      <c r="B110" s="49"/>
    </row>
    <row r="111" spans="2:2" ht="15.75" customHeight="1" x14ac:dyDescent="0.45">
      <c r="B111" s="49"/>
    </row>
    <row r="112" spans="2:2" ht="15.75" customHeight="1" x14ac:dyDescent="0.45">
      <c r="B112" s="49"/>
    </row>
    <row r="113" spans="2:2" ht="15.75" customHeight="1" x14ac:dyDescent="0.45">
      <c r="B113" s="49"/>
    </row>
    <row r="114" spans="2:2" ht="15.75" customHeight="1" x14ac:dyDescent="0.45">
      <c r="B114" s="49"/>
    </row>
    <row r="115" spans="2:2" ht="15.75" customHeight="1" x14ac:dyDescent="0.45">
      <c r="B115" s="49"/>
    </row>
    <row r="116" spans="2:2" ht="15.75" customHeight="1" x14ac:dyDescent="0.45">
      <c r="B116" s="49"/>
    </row>
    <row r="117" spans="2:2" ht="15.75" customHeight="1" x14ac:dyDescent="0.45">
      <c r="B117" s="49"/>
    </row>
    <row r="118" spans="2:2" ht="15.75" customHeight="1" x14ac:dyDescent="0.45">
      <c r="B118" s="49"/>
    </row>
    <row r="119" spans="2:2" ht="15.75" customHeight="1" x14ac:dyDescent="0.45">
      <c r="B119" s="49"/>
    </row>
    <row r="120" spans="2:2" ht="15.75" customHeight="1" x14ac:dyDescent="0.45">
      <c r="B120" s="49"/>
    </row>
    <row r="121" spans="2:2" ht="15.75" customHeight="1" x14ac:dyDescent="0.45">
      <c r="B121" s="49"/>
    </row>
    <row r="122" spans="2:2" ht="15.75" customHeight="1" x14ac:dyDescent="0.45">
      <c r="B122" s="49"/>
    </row>
    <row r="123" spans="2:2" ht="15.75" customHeight="1" x14ac:dyDescent="0.45">
      <c r="B123" s="49"/>
    </row>
    <row r="124" spans="2:2" ht="15.75" customHeight="1" x14ac:dyDescent="0.45">
      <c r="B124" s="49"/>
    </row>
    <row r="125" spans="2:2" ht="15.75" customHeight="1" x14ac:dyDescent="0.45">
      <c r="B125" s="49"/>
    </row>
    <row r="126" spans="2:2" ht="15.75" customHeight="1" x14ac:dyDescent="0.45">
      <c r="B126" s="49"/>
    </row>
    <row r="127" spans="2:2" ht="15.75" customHeight="1" x14ac:dyDescent="0.45">
      <c r="B127" s="49"/>
    </row>
    <row r="128" spans="2:2" ht="15.75" customHeight="1" x14ac:dyDescent="0.45">
      <c r="B128" s="49"/>
    </row>
    <row r="129" spans="2:2" ht="15.75" customHeight="1" x14ac:dyDescent="0.45">
      <c r="B129" s="49"/>
    </row>
    <row r="130" spans="2:2" ht="15.75" customHeight="1" x14ac:dyDescent="0.45">
      <c r="B130" s="49"/>
    </row>
    <row r="131" spans="2:2" ht="15.75" customHeight="1" x14ac:dyDescent="0.45">
      <c r="B131" s="49"/>
    </row>
    <row r="132" spans="2:2" ht="15.75" customHeight="1" x14ac:dyDescent="0.45">
      <c r="B132" s="49"/>
    </row>
    <row r="133" spans="2:2" ht="15.75" customHeight="1" x14ac:dyDescent="0.45">
      <c r="B133" s="49"/>
    </row>
    <row r="134" spans="2:2" ht="15.75" customHeight="1" x14ac:dyDescent="0.45">
      <c r="B134" s="49"/>
    </row>
    <row r="135" spans="2:2" ht="15.75" customHeight="1" x14ac:dyDescent="0.45">
      <c r="B135" s="49"/>
    </row>
    <row r="136" spans="2:2" ht="15.75" customHeight="1" x14ac:dyDescent="0.45">
      <c r="B136" s="49"/>
    </row>
    <row r="137" spans="2:2" ht="15.75" customHeight="1" x14ac:dyDescent="0.45">
      <c r="B137" s="49"/>
    </row>
    <row r="138" spans="2:2" ht="15.75" customHeight="1" x14ac:dyDescent="0.45">
      <c r="B138" s="49"/>
    </row>
    <row r="139" spans="2:2" ht="15.75" customHeight="1" x14ac:dyDescent="0.45">
      <c r="B139" s="49"/>
    </row>
    <row r="140" spans="2:2" ht="15.75" customHeight="1" x14ac:dyDescent="0.45">
      <c r="B140" s="49"/>
    </row>
    <row r="141" spans="2:2" ht="15.75" customHeight="1" x14ac:dyDescent="0.45">
      <c r="B141" s="49"/>
    </row>
    <row r="142" spans="2:2" ht="15.75" customHeight="1" x14ac:dyDescent="0.45">
      <c r="B142" s="49"/>
    </row>
    <row r="143" spans="2:2" ht="15.75" customHeight="1" x14ac:dyDescent="0.45">
      <c r="B143" s="49"/>
    </row>
    <row r="144" spans="2:2" ht="15.75" customHeight="1" x14ac:dyDescent="0.45">
      <c r="B144" s="49"/>
    </row>
    <row r="145" spans="2:2" ht="15.75" customHeight="1" x14ac:dyDescent="0.45">
      <c r="B145" s="49"/>
    </row>
    <row r="146" spans="2:2" ht="15.75" customHeight="1" x14ac:dyDescent="0.45">
      <c r="B146" s="49"/>
    </row>
    <row r="147" spans="2:2" ht="15.75" customHeight="1" x14ac:dyDescent="0.45">
      <c r="B147" s="49"/>
    </row>
    <row r="148" spans="2:2" ht="15.75" customHeight="1" x14ac:dyDescent="0.45">
      <c r="B148" s="49"/>
    </row>
    <row r="149" spans="2:2" ht="15.75" customHeight="1" x14ac:dyDescent="0.45">
      <c r="B149" s="49"/>
    </row>
    <row r="150" spans="2:2" ht="15.75" customHeight="1" x14ac:dyDescent="0.45">
      <c r="B150" s="49"/>
    </row>
    <row r="151" spans="2:2" ht="15.75" customHeight="1" x14ac:dyDescent="0.45">
      <c r="B151" s="49"/>
    </row>
    <row r="152" spans="2:2" ht="15.75" customHeight="1" x14ac:dyDescent="0.45">
      <c r="B152" s="49"/>
    </row>
    <row r="153" spans="2:2" ht="15.75" customHeight="1" x14ac:dyDescent="0.45">
      <c r="B153" s="49"/>
    </row>
    <row r="154" spans="2:2" ht="15.75" customHeight="1" x14ac:dyDescent="0.45">
      <c r="B154" s="49"/>
    </row>
    <row r="155" spans="2:2" ht="15.75" customHeight="1" x14ac:dyDescent="0.45">
      <c r="B155" s="49"/>
    </row>
    <row r="156" spans="2:2" ht="15.75" customHeight="1" x14ac:dyDescent="0.45">
      <c r="B156" s="49"/>
    </row>
    <row r="157" spans="2:2" ht="15.75" customHeight="1" x14ac:dyDescent="0.45">
      <c r="B157" s="49"/>
    </row>
    <row r="158" spans="2:2" ht="15.75" customHeight="1" x14ac:dyDescent="0.45">
      <c r="B158" s="49"/>
    </row>
    <row r="159" spans="2:2" ht="15.75" customHeight="1" x14ac:dyDescent="0.45">
      <c r="B159" s="49"/>
    </row>
    <row r="160" spans="2:2" ht="15.75" customHeight="1" x14ac:dyDescent="0.45">
      <c r="B160" s="49"/>
    </row>
    <row r="161" spans="2:2" ht="15.75" customHeight="1" x14ac:dyDescent="0.45">
      <c r="B161" s="49"/>
    </row>
    <row r="162" spans="2:2" ht="15.75" customHeight="1" x14ac:dyDescent="0.45">
      <c r="B162" s="49"/>
    </row>
    <row r="163" spans="2:2" ht="15.75" customHeight="1" x14ac:dyDescent="0.45">
      <c r="B163" s="49"/>
    </row>
    <row r="164" spans="2:2" ht="15.75" customHeight="1" x14ac:dyDescent="0.45">
      <c r="B164" s="49"/>
    </row>
    <row r="165" spans="2:2" ht="15.75" customHeight="1" x14ac:dyDescent="0.45">
      <c r="B165" s="49"/>
    </row>
    <row r="166" spans="2:2" ht="15.75" customHeight="1" x14ac:dyDescent="0.45">
      <c r="B166" s="49"/>
    </row>
    <row r="167" spans="2:2" ht="15.75" customHeight="1" x14ac:dyDescent="0.45">
      <c r="B167" s="49"/>
    </row>
    <row r="168" spans="2:2" ht="15.75" customHeight="1" x14ac:dyDescent="0.45">
      <c r="B168" s="49"/>
    </row>
    <row r="169" spans="2:2" ht="15.75" customHeight="1" x14ac:dyDescent="0.45">
      <c r="B169" s="49"/>
    </row>
    <row r="170" spans="2:2" ht="15.75" customHeight="1" x14ac:dyDescent="0.45">
      <c r="B170" s="49"/>
    </row>
    <row r="171" spans="2:2" ht="15.75" customHeight="1" x14ac:dyDescent="0.45">
      <c r="B171" s="49"/>
    </row>
    <row r="172" spans="2:2" ht="15.75" customHeight="1" x14ac:dyDescent="0.45">
      <c r="B172" s="49"/>
    </row>
    <row r="173" spans="2:2" ht="15.75" customHeight="1" x14ac:dyDescent="0.45">
      <c r="B173" s="49"/>
    </row>
    <row r="174" spans="2:2" ht="15.75" customHeight="1" x14ac:dyDescent="0.45">
      <c r="B174" s="49"/>
    </row>
    <row r="175" spans="2:2" ht="15.75" customHeight="1" x14ac:dyDescent="0.45">
      <c r="B175" s="49"/>
    </row>
    <row r="176" spans="2:2" ht="15.75" customHeight="1" x14ac:dyDescent="0.45">
      <c r="B176" s="49"/>
    </row>
    <row r="177" spans="2:2" ht="15.75" customHeight="1" x14ac:dyDescent="0.45">
      <c r="B177" s="49"/>
    </row>
    <row r="178" spans="2:2" ht="15.75" customHeight="1" x14ac:dyDescent="0.45">
      <c r="B178" s="49"/>
    </row>
    <row r="179" spans="2:2" ht="15.75" customHeight="1" x14ac:dyDescent="0.45">
      <c r="B179" s="49"/>
    </row>
    <row r="180" spans="2:2" ht="15.75" customHeight="1" x14ac:dyDescent="0.45">
      <c r="B180" s="49"/>
    </row>
    <row r="181" spans="2:2" ht="15.75" customHeight="1" x14ac:dyDescent="0.45">
      <c r="B181" s="49"/>
    </row>
    <row r="182" spans="2:2" ht="15.75" customHeight="1" x14ac:dyDescent="0.45">
      <c r="B182" s="49"/>
    </row>
    <row r="183" spans="2:2" ht="15.75" customHeight="1" x14ac:dyDescent="0.45">
      <c r="B183" s="49"/>
    </row>
    <row r="184" spans="2:2" ht="15.75" customHeight="1" x14ac:dyDescent="0.45">
      <c r="B184" s="49"/>
    </row>
    <row r="185" spans="2:2" ht="15.75" customHeight="1" x14ac:dyDescent="0.45">
      <c r="B185" s="49"/>
    </row>
    <row r="186" spans="2:2" ht="15.75" customHeight="1" x14ac:dyDescent="0.45">
      <c r="B186" s="49"/>
    </row>
    <row r="187" spans="2:2" ht="15.75" customHeight="1" x14ac:dyDescent="0.45">
      <c r="B187" s="49"/>
    </row>
    <row r="188" spans="2:2" ht="15.75" customHeight="1" x14ac:dyDescent="0.45">
      <c r="B188" s="49"/>
    </row>
    <row r="189" spans="2:2" ht="15.75" customHeight="1" x14ac:dyDescent="0.45">
      <c r="B189" s="49"/>
    </row>
    <row r="190" spans="2:2" ht="15.75" customHeight="1" x14ac:dyDescent="0.45">
      <c r="B190" s="49"/>
    </row>
    <row r="191" spans="2:2" ht="15.75" customHeight="1" x14ac:dyDescent="0.45">
      <c r="B191" s="49"/>
    </row>
    <row r="192" spans="2:2" ht="15.75" customHeight="1" x14ac:dyDescent="0.45">
      <c r="B192" s="49"/>
    </row>
    <row r="193" spans="2:2" ht="15.75" customHeight="1" x14ac:dyDescent="0.45">
      <c r="B193" s="49"/>
    </row>
    <row r="194" spans="2:2" ht="15.75" customHeight="1" x14ac:dyDescent="0.45">
      <c r="B194" s="49"/>
    </row>
    <row r="195" spans="2:2" ht="15.75" customHeight="1" x14ac:dyDescent="0.45">
      <c r="B195" s="49"/>
    </row>
    <row r="196" spans="2:2" ht="15.75" customHeight="1" x14ac:dyDescent="0.45">
      <c r="B196" s="49"/>
    </row>
    <row r="197" spans="2:2" ht="15.75" customHeight="1" x14ac:dyDescent="0.45">
      <c r="B197" s="49"/>
    </row>
    <row r="198" spans="2:2" ht="15.75" customHeight="1" x14ac:dyDescent="0.45">
      <c r="B198" s="49"/>
    </row>
    <row r="199" spans="2:2" ht="15.75" customHeight="1" x14ac:dyDescent="0.45">
      <c r="B199" s="49"/>
    </row>
    <row r="200" spans="2:2" ht="15.75" customHeight="1" x14ac:dyDescent="0.45">
      <c r="B200" s="49"/>
    </row>
    <row r="201" spans="2:2" ht="15.75" customHeight="1" x14ac:dyDescent="0.45">
      <c r="B201" s="49"/>
    </row>
    <row r="202" spans="2:2" ht="15.75" customHeight="1" x14ac:dyDescent="0.45">
      <c r="B202" s="49"/>
    </row>
    <row r="203" spans="2:2" ht="15.75" customHeight="1" x14ac:dyDescent="0.45">
      <c r="B203" s="49"/>
    </row>
    <row r="204" spans="2:2" ht="15.75" customHeight="1" x14ac:dyDescent="0.45">
      <c r="B204" s="49"/>
    </row>
    <row r="205" spans="2:2" ht="15.75" customHeight="1" x14ac:dyDescent="0.45">
      <c r="B205" s="49"/>
    </row>
    <row r="206" spans="2:2" ht="15.75" customHeight="1" x14ac:dyDescent="0.45">
      <c r="B206" s="49"/>
    </row>
    <row r="207" spans="2:2" ht="15.75" customHeight="1" x14ac:dyDescent="0.45">
      <c r="B207" s="49"/>
    </row>
    <row r="208" spans="2:2" ht="15.75" customHeight="1" x14ac:dyDescent="0.45">
      <c r="B208" s="49"/>
    </row>
    <row r="209" spans="2:2" ht="15.75" customHeight="1" x14ac:dyDescent="0.45">
      <c r="B209" s="49"/>
    </row>
    <row r="210" spans="2:2" ht="15.75" customHeight="1" x14ac:dyDescent="0.45">
      <c r="B210" s="49"/>
    </row>
    <row r="211" spans="2:2" ht="15.75" customHeight="1" x14ac:dyDescent="0.45">
      <c r="B211" s="49"/>
    </row>
    <row r="212" spans="2:2" ht="15.75" customHeight="1" x14ac:dyDescent="0.45">
      <c r="B212" s="49"/>
    </row>
    <row r="213" spans="2:2" ht="15.75" customHeight="1" x14ac:dyDescent="0.45">
      <c r="B213" s="49"/>
    </row>
    <row r="214" spans="2:2" ht="15.75" customHeight="1" x14ac:dyDescent="0.45">
      <c r="B214" s="49"/>
    </row>
    <row r="215" spans="2:2" ht="15.75" customHeight="1" x14ac:dyDescent="0.45">
      <c r="B215" s="49"/>
    </row>
    <row r="216" spans="2:2" ht="15.75" customHeight="1" x14ac:dyDescent="0.45">
      <c r="B216" s="49"/>
    </row>
    <row r="217" spans="2:2" ht="15.75" customHeight="1" x14ac:dyDescent="0.45">
      <c r="B217" s="49"/>
    </row>
    <row r="218" spans="2:2" ht="15.75" customHeight="1" x14ac:dyDescent="0.45">
      <c r="B218" s="49"/>
    </row>
    <row r="219" spans="2:2" ht="15.75" customHeight="1" x14ac:dyDescent="0.45">
      <c r="B219" s="49"/>
    </row>
    <row r="220" spans="2:2" ht="15.75" customHeight="1" x14ac:dyDescent="0.45">
      <c r="B220" s="49"/>
    </row>
    <row r="221" spans="2:2" ht="15.75" customHeight="1" x14ac:dyDescent="0.45">
      <c r="B221" s="49"/>
    </row>
    <row r="222" spans="2:2" ht="15.75" customHeight="1" x14ac:dyDescent="0.45">
      <c r="B222" s="49"/>
    </row>
    <row r="223" spans="2:2" ht="15.75" customHeight="1" x14ac:dyDescent="0.45">
      <c r="B223" s="49"/>
    </row>
    <row r="224" spans="2:2" ht="15.75" customHeight="1" x14ac:dyDescent="0.45">
      <c r="B224" s="49"/>
    </row>
    <row r="225" spans="2:2" ht="15.75" customHeight="1" x14ac:dyDescent="0.45">
      <c r="B225" s="49"/>
    </row>
    <row r="226" spans="2:2" ht="15.75" customHeight="1" x14ac:dyDescent="0.45">
      <c r="B226" s="49"/>
    </row>
    <row r="227" spans="2:2" ht="15.75" customHeight="1" x14ac:dyDescent="0.45">
      <c r="B227" s="49"/>
    </row>
    <row r="228" spans="2:2" ht="15.75" customHeight="1" x14ac:dyDescent="0.45">
      <c r="B228" s="49"/>
    </row>
    <row r="229" spans="2:2" ht="15.75" customHeight="1" x14ac:dyDescent="0.45">
      <c r="B229" s="49"/>
    </row>
    <row r="230" spans="2:2" ht="15.75" customHeight="1" x14ac:dyDescent="0.45">
      <c r="B230" s="49"/>
    </row>
    <row r="231" spans="2:2" ht="15.75" customHeight="1" x14ac:dyDescent="0.45">
      <c r="B231" s="49"/>
    </row>
    <row r="232" spans="2:2" ht="15.75" customHeight="1" x14ac:dyDescent="0.45">
      <c r="B232" s="49"/>
    </row>
    <row r="233" spans="2:2" ht="15.75" customHeight="1" x14ac:dyDescent="0.45">
      <c r="B233" s="49"/>
    </row>
    <row r="234" spans="2:2" ht="15.75" customHeight="1" x14ac:dyDescent="0.45">
      <c r="B234" s="49"/>
    </row>
    <row r="235" spans="2:2" ht="15.75" customHeight="1" x14ac:dyDescent="0.45">
      <c r="B235" s="49"/>
    </row>
    <row r="236" spans="2:2" ht="15.75" customHeight="1" x14ac:dyDescent="0.45">
      <c r="B236" s="49"/>
    </row>
    <row r="237" spans="2:2" ht="15.75" customHeight="1" x14ac:dyDescent="0.45">
      <c r="B237" s="49"/>
    </row>
    <row r="238" spans="2:2" ht="15.75" customHeight="1" x14ac:dyDescent="0.45">
      <c r="B238" s="49"/>
    </row>
    <row r="239" spans="2:2" ht="15.75" customHeight="1" x14ac:dyDescent="0.45">
      <c r="B239" s="49"/>
    </row>
    <row r="240" spans="2:2" ht="15.75" customHeight="1" x14ac:dyDescent="0.45">
      <c r="B240" s="49"/>
    </row>
    <row r="241" spans="2:2" ht="15.75" customHeight="1" x14ac:dyDescent="0.45">
      <c r="B241" s="49"/>
    </row>
    <row r="242" spans="2:2" ht="15.75" customHeight="1" x14ac:dyDescent="0.45">
      <c r="B242" s="49"/>
    </row>
    <row r="243" spans="2:2" ht="15.75" customHeight="1" x14ac:dyDescent="0.45">
      <c r="B243" s="49"/>
    </row>
    <row r="244" spans="2:2" ht="15.75" customHeight="1" x14ac:dyDescent="0.45">
      <c r="B244" s="49"/>
    </row>
    <row r="245" spans="2:2" ht="15.75" customHeight="1" x14ac:dyDescent="0.45">
      <c r="B245" s="49"/>
    </row>
    <row r="246" spans="2:2" ht="15.75" customHeight="1" x14ac:dyDescent="0.45">
      <c r="B246" s="49"/>
    </row>
    <row r="247" spans="2:2" ht="15.75" customHeight="1" x14ac:dyDescent="0.45">
      <c r="B247" s="49"/>
    </row>
    <row r="248" spans="2:2" ht="15.75" customHeight="1" x14ac:dyDescent="0.45">
      <c r="B248" s="49"/>
    </row>
    <row r="249" spans="2:2" ht="15.75" customHeight="1" x14ac:dyDescent="0.45">
      <c r="B249" s="49"/>
    </row>
    <row r="250" spans="2:2" ht="15.75" customHeight="1" x14ac:dyDescent="0.45">
      <c r="B250" s="49"/>
    </row>
    <row r="251" spans="2:2" ht="15.75" customHeight="1" x14ac:dyDescent="0.45">
      <c r="B251" s="49"/>
    </row>
    <row r="252" spans="2:2" ht="15.75" customHeight="1" x14ac:dyDescent="0.45">
      <c r="B252" s="49"/>
    </row>
    <row r="253" spans="2:2" ht="15.75" customHeight="1" x14ac:dyDescent="0.45">
      <c r="B253" s="49"/>
    </row>
    <row r="254" spans="2:2" ht="15.75" customHeight="1" x14ac:dyDescent="0.45">
      <c r="B254" s="49"/>
    </row>
    <row r="255" spans="2:2" ht="15.75" customHeight="1" x14ac:dyDescent="0.45">
      <c r="B255" s="49"/>
    </row>
    <row r="256" spans="2:2" ht="15.75" customHeight="1" x14ac:dyDescent="0.45">
      <c r="B256" s="49"/>
    </row>
    <row r="257" spans="2:2" ht="15.75" customHeight="1" x14ac:dyDescent="0.45">
      <c r="B257" s="49"/>
    </row>
    <row r="258" spans="2:2" ht="15.75" customHeight="1" x14ac:dyDescent="0.45">
      <c r="B258" s="49"/>
    </row>
    <row r="259" spans="2:2" ht="15.75" customHeight="1" x14ac:dyDescent="0.45">
      <c r="B259" s="49"/>
    </row>
    <row r="260" spans="2:2" ht="15.75" customHeight="1" x14ac:dyDescent="0.45">
      <c r="B260" s="49"/>
    </row>
    <row r="261" spans="2:2" ht="15.75" customHeight="1" x14ac:dyDescent="0.45">
      <c r="B261" s="49"/>
    </row>
    <row r="262" spans="2:2" ht="15.75" customHeight="1" x14ac:dyDescent="0.45">
      <c r="B262" s="49"/>
    </row>
    <row r="263" spans="2:2" ht="15.75" customHeight="1" x14ac:dyDescent="0.45">
      <c r="B263" s="49"/>
    </row>
    <row r="264" spans="2:2" ht="15.75" customHeight="1" x14ac:dyDescent="0.45">
      <c r="B264" s="49"/>
    </row>
    <row r="265" spans="2:2" ht="15.75" customHeight="1" x14ac:dyDescent="0.45">
      <c r="B265" s="49"/>
    </row>
    <row r="266" spans="2:2" ht="15.75" customHeight="1" x14ac:dyDescent="0.45">
      <c r="B266" s="49"/>
    </row>
    <row r="267" spans="2:2" ht="15.75" customHeight="1" x14ac:dyDescent="0.45">
      <c r="B267" s="49"/>
    </row>
    <row r="268" spans="2:2" ht="15.75" customHeight="1" x14ac:dyDescent="0.45">
      <c r="B268" s="49"/>
    </row>
    <row r="269" spans="2:2" ht="15.75" customHeight="1" x14ac:dyDescent="0.45">
      <c r="B269" s="49"/>
    </row>
    <row r="270" spans="2:2" ht="15.75" customHeight="1" x14ac:dyDescent="0.45">
      <c r="B270" s="49"/>
    </row>
    <row r="271" spans="2:2" ht="15.75" customHeight="1" x14ac:dyDescent="0.45">
      <c r="B271" s="49"/>
    </row>
    <row r="272" spans="2:2" ht="15.75" customHeight="1" x14ac:dyDescent="0.45">
      <c r="B272" s="49"/>
    </row>
    <row r="273" spans="2:2" ht="15.75" customHeight="1" x14ac:dyDescent="0.45">
      <c r="B273" s="49"/>
    </row>
    <row r="274" spans="2:2" ht="15.75" customHeight="1" x14ac:dyDescent="0.45">
      <c r="B274" s="49"/>
    </row>
    <row r="275" spans="2:2" ht="15.75" customHeight="1" x14ac:dyDescent="0.45">
      <c r="B275" s="49"/>
    </row>
    <row r="276" spans="2:2" ht="15.75" customHeight="1" x14ac:dyDescent="0.45">
      <c r="B276" s="49"/>
    </row>
    <row r="277" spans="2:2" ht="15.75" customHeight="1" x14ac:dyDescent="0.45">
      <c r="B277" s="49"/>
    </row>
    <row r="278" spans="2:2" ht="15.75" customHeight="1" x14ac:dyDescent="0.45">
      <c r="B278" s="49"/>
    </row>
    <row r="279" spans="2:2" ht="15.75" customHeight="1" x14ac:dyDescent="0.45">
      <c r="B279" s="49"/>
    </row>
    <row r="280" spans="2:2" ht="15.75" customHeight="1" x14ac:dyDescent="0.45">
      <c r="B280" s="49"/>
    </row>
    <row r="281" spans="2:2" ht="15.75" customHeight="1" x14ac:dyDescent="0.45">
      <c r="B281" s="49"/>
    </row>
    <row r="282" spans="2:2" ht="15.75" customHeight="1" x14ac:dyDescent="0.45">
      <c r="B282" s="49"/>
    </row>
    <row r="283" spans="2:2" ht="15.75" customHeight="1" x14ac:dyDescent="0.45">
      <c r="B283" s="49"/>
    </row>
    <row r="284" spans="2:2" ht="15.75" customHeight="1" x14ac:dyDescent="0.45">
      <c r="B284" s="49"/>
    </row>
    <row r="285" spans="2:2" ht="15.75" customHeight="1" x14ac:dyDescent="0.45">
      <c r="B285" s="49"/>
    </row>
    <row r="286" spans="2:2" ht="15.75" customHeight="1" x14ac:dyDescent="0.45">
      <c r="B286" s="49"/>
    </row>
    <row r="287" spans="2:2" ht="15.75" customHeight="1" x14ac:dyDescent="0.45">
      <c r="B287" s="49"/>
    </row>
    <row r="288" spans="2:2" ht="15.75" customHeight="1" x14ac:dyDescent="0.45">
      <c r="B288" s="49"/>
    </row>
    <row r="289" spans="2:2" ht="15.75" customHeight="1" x14ac:dyDescent="0.45">
      <c r="B289" s="49"/>
    </row>
    <row r="290" spans="2:2" ht="15.75" customHeight="1" x14ac:dyDescent="0.45">
      <c r="B290" s="49"/>
    </row>
    <row r="291" spans="2:2" ht="15.75" customHeight="1" x14ac:dyDescent="0.45">
      <c r="B291" s="49"/>
    </row>
    <row r="292" spans="2:2" ht="15.75" customHeight="1" x14ac:dyDescent="0.45">
      <c r="B292" s="49"/>
    </row>
    <row r="293" spans="2:2" ht="15.75" customHeight="1" x14ac:dyDescent="0.45">
      <c r="B293" s="49"/>
    </row>
    <row r="294" spans="2:2" ht="15.75" customHeight="1" x14ac:dyDescent="0.45">
      <c r="B294" s="49"/>
    </row>
    <row r="295" spans="2:2" ht="15.75" customHeight="1" x14ac:dyDescent="0.45">
      <c r="B295" s="49"/>
    </row>
    <row r="296" spans="2:2" ht="15.75" customHeight="1" x14ac:dyDescent="0.45">
      <c r="B296" s="49"/>
    </row>
    <row r="297" spans="2:2" ht="15.75" customHeight="1" x14ac:dyDescent="0.45">
      <c r="B297" s="49"/>
    </row>
    <row r="298" spans="2:2" ht="15.75" customHeight="1" x14ac:dyDescent="0.45">
      <c r="B298" s="49"/>
    </row>
    <row r="299" spans="2:2" ht="15.75" customHeight="1" x14ac:dyDescent="0.45">
      <c r="B299" s="49"/>
    </row>
    <row r="300" spans="2:2" ht="15.75" customHeight="1" x14ac:dyDescent="0.45">
      <c r="B300" s="49"/>
    </row>
    <row r="301" spans="2:2" ht="15.75" customHeight="1" x14ac:dyDescent="0.45">
      <c r="B301" s="49"/>
    </row>
    <row r="302" spans="2:2" ht="15.75" customHeight="1" x14ac:dyDescent="0.45">
      <c r="B302" s="49"/>
    </row>
    <row r="303" spans="2:2" ht="15.75" customHeight="1" x14ac:dyDescent="0.45">
      <c r="B303" s="49"/>
    </row>
    <row r="304" spans="2:2" ht="15.75" customHeight="1" x14ac:dyDescent="0.45">
      <c r="B304" s="49"/>
    </row>
    <row r="305" spans="2:2" ht="15.75" customHeight="1" x14ac:dyDescent="0.45">
      <c r="B305" s="49"/>
    </row>
    <row r="306" spans="2:2" ht="15.75" customHeight="1" x14ac:dyDescent="0.45">
      <c r="B306" s="49"/>
    </row>
    <row r="307" spans="2:2" ht="15.75" customHeight="1" x14ac:dyDescent="0.45">
      <c r="B307" s="49"/>
    </row>
    <row r="308" spans="2:2" ht="15.75" customHeight="1" x14ac:dyDescent="0.45">
      <c r="B308" s="49"/>
    </row>
    <row r="309" spans="2:2" ht="15.75" customHeight="1" x14ac:dyDescent="0.45">
      <c r="B309" s="49"/>
    </row>
    <row r="310" spans="2:2" ht="15.75" customHeight="1" x14ac:dyDescent="0.45">
      <c r="B310" s="49"/>
    </row>
    <row r="311" spans="2:2" ht="15.75" customHeight="1" x14ac:dyDescent="0.45">
      <c r="B311" s="49"/>
    </row>
    <row r="312" spans="2:2" ht="15.75" customHeight="1" x14ac:dyDescent="0.45">
      <c r="B312" s="49"/>
    </row>
    <row r="313" spans="2:2" ht="15.75" customHeight="1" x14ac:dyDescent="0.45">
      <c r="B313" s="49"/>
    </row>
    <row r="314" spans="2:2" ht="15.75" customHeight="1" x14ac:dyDescent="0.45">
      <c r="B314" s="49"/>
    </row>
    <row r="315" spans="2:2" ht="15.75" customHeight="1" x14ac:dyDescent="0.45">
      <c r="B315" s="49"/>
    </row>
    <row r="316" spans="2:2" ht="15.75" customHeight="1" x14ac:dyDescent="0.45">
      <c r="B316" s="49"/>
    </row>
    <row r="317" spans="2:2" ht="15.75" customHeight="1" x14ac:dyDescent="0.45">
      <c r="B317" s="49"/>
    </row>
    <row r="318" spans="2:2" ht="15.75" customHeight="1" x14ac:dyDescent="0.45">
      <c r="B318" s="49"/>
    </row>
    <row r="319" spans="2:2" ht="15.75" customHeight="1" x14ac:dyDescent="0.45">
      <c r="B319" s="49"/>
    </row>
    <row r="320" spans="2:2" ht="15.75" customHeight="1" x14ac:dyDescent="0.45">
      <c r="B320" s="49"/>
    </row>
    <row r="321" spans="2:2" ht="15.75" customHeight="1" x14ac:dyDescent="0.45">
      <c r="B321" s="49"/>
    </row>
    <row r="322" spans="2:2" ht="15.75" customHeight="1" x14ac:dyDescent="0.45">
      <c r="B322" s="49"/>
    </row>
    <row r="323" spans="2:2" ht="15.75" customHeight="1" x14ac:dyDescent="0.45">
      <c r="B323" s="49"/>
    </row>
    <row r="324" spans="2:2" ht="15.75" customHeight="1" x14ac:dyDescent="0.45">
      <c r="B324" s="49"/>
    </row>
    <row r="325" spans="2:2" ht="15.75" customHeight="1" x14ac:dyDescent="0.45">
      <c r="B325" s="49"/>
    </row>
    <row r="326" spans="2:2" ht="15.75" customHeight="1" x14ac:dyDescent="0.45">
      <c r="B326" s="49"/>
    </row>
    <row r="327" spans="2:2" ht="15.75" customHeight="1" x14ac:dyDescent="0.45">
      <c r="B327" s="49"/>
    </row>
    <row r="328" spans="2:2" ht="15.75" customHeight="1" x14ac:dyDescent="0.45">
      <c r="B328" s="49"/>
    </row>
    <row r="329" spans="2:2" ht="15.75" customHeight="1" x14ac:dyDescent="0.45">
      <c r="B329" s="49"/>
    </row>
    <row r="330" spans="2:2" ht="15.75" customHeight="1" x14ac:dyDescent="0.45">
      <c r="B330" s="49"/>
    </row>
    <row r="331" spans="2:2" ht="15.75" customHeight="1" x14ac:dyDescent="0.45">
      <c r="B331" s="49"/>
    </row>
    <row r="332" spans="2:2" ht="15.75" customHeight="1" x14ac:dyDescent="0.45">
      <c r="B332" s="49"/>
    </row>
    <row r="333" spans="2:2" ht="15.75" customHeight="1" x14ac:dyDescent="0.45">
      <c r="B333" s="49"/>
    </row>
    <row r="334" spans="2:2" ht="15.75" customHeight="1" x14ac:dyDescent="0.45">
      <c r="B334" s="49"/>
    </row>
    <row r="335" spans="2:2" ht="15.75" customHeight="1" x14ac:dyDescent="0.45">
      <c r="B335" s="49"/>
    </row>
    <row r="336" spans="2:2" ht="15.75" customHeight="1" x14ac:dyDescent="0.45">
      <c r="B336" s="49"/>
    </row>
    <row r="337" spans="2:2" ht="15.75" customHeight="1" x14ac:dyDescent="0.45">
      <c r="B337" s="49"/>
    </row>
    <row r="338" spans="2:2" ht="15.75" customHeight="1" x14ac:dyDescent="0.45">
      <c r="B338" s="49"/>
    </row>
    <row r="339" spans="2:2" ht="15.75" customHeight="1" x14ac:dyDescent="0.45">
      <c r="B339" s="49"/>
    </row>
    <row r="340" spans="2:2" ht="15.75" customHeight="1" x14ac:dyDescent="0.45">
      <c r="B340" s="49"/>
    </row>
    <row r="341" spans="2:2" ht="15.75" customHeight="1" x14ac:dyDescent="0.45">
      <c r="B341" s="49"/>
    </row>
    <row r="342" spans="2:2" ht="15.75" customHeight="1" x14ac:dyDescent="0.45">
      <c r="B342" s="49"/>
    </row>
    <row r="343" spans="2:2" ht="15.75" customHeight="1" x14ac:dyDescent="0.45">
      <c r="B343" s="49"/>
    </row>
    <row r="344" spans="2:2" ht="15.75" customHeight="1" x14ac:dyDescent="0.45">
      <c r="B344" s="49"/>
    </row>
    <row r="345" spans="2:2" ht="15.75" customHeight="1" x14ac:dyDescent="0.45">
      <c r="B345" s="49"/>
    </row>
    <row r="346" spans="2:2" ht="15.75" customHeight="1" x14ac:dyDescent="0.45">
      <c r="B346" s="49"/>
    </row>
    <row r="347" spans="2:2" ht="15.75" customHeight="1" x14ac:dyDescent="0.45">
      <c r="B347" s="49"/>
    </row>
    <row r="348" spans="2:2" ht="15.75" customHeight="1" x14ac:dyDescent="0.45">
      <c r="B348" s="49"/>
    </row>
    <row r="349" spans="2:2" ht="15.75" customHeight="1" x14ac:dyDescent="0.45">
      <c r="B349" s="49"/>
    </row>
    <row r="350" spans="2:2" ht="15.75" customHeight="1" x14ac:dyDescent="0.45">
      <c r="B350" s="49"/>
    </row>
    <row r="351" spans="2:2" ht="15.75" customHeight="1" x14ac:dyDescent="0.45">
      <c r="B351" s="49"/>
    </row>
    <row r="352" spans="2:2" ht="15.75" customHeight="1" x14ac:dyDescent="0.45">
      <c r="B352" s="49"/>
    </row>
    <row r="353" spans="2:2" ht="15.75" customHeight="1" x14ac:dyDescent="0.45">
      <c r="B353" s="49"/>
    </row>
    <row r="354" spans="2:2" ht="15.75" customHeight="1" x14ac:dyDescent="0.45">
      <c r="B354" s="49"/>
    </row>
    <row r="355" spans="2:2" ht="15.75" customHeight="1" x14ac:dyDescent="0.45">
      <c r="B355" s="49"/>
    </row>
    <row r="356" spans="2:2" ht="15.75" customHeight="1" x14ac:dyDescent="0.45">
      <c r="B356" s="49"/>
    </row>
    <row r="357" spans="2:2" ht="15.75" customHeight="1" x14ac:dyDescent="0.45">
      <c r="B357" s="49"/>
    </row>
    <row r="358" spans="2:2" ht="15.75" customHeight="1" x14ac:dyDescent="0.45">
      <c r="B358" s="49"/>
    </row>
    <row r="359" spans="2:2" ht="15.75" customHeight="1" x14ac:dyDescent="0.45">
      <c r="B359" s="49"/>
    </row>
    <row r="360" spans="2:2" ht="15.75" customHeight="1" x14ac:dyDescent="0.45">
      <c r="B360" s="49"/>
    </row>
    <row r="361" spans="2:2" ht="15.75" customHeight="1" x14ac:dyDescent="0.45">
      <c r="B361" s="49"/>
    </row>
    <row r="362" spans="2:2" ht="15.75" customHeight="1" x14ac:dyDescent="0.45">
      <c r="B362" s="49"/>
    </row>
    <row r="363" spans="2:2" ht="15.75" customHeight="1" x14ac:dyDescent="0.45">
      <c r="B363" s="49"/>
    </row>
    <row r="364" spans="2:2" ht="15.75" customHeight="1" x14ac:dyDescent="0.45">
      <c r="B364" s="49"/>
    </row>
    <row r="365" spans="2:2" ht="15.75" customHeight="1" x14ac:dyDescent="0.45">
      <c r="B365" s="49"/>
    </row>
    <row r="366" spans="2:2" ht="15.75" customHeight="1" x14ac:dyDescent="0.45">
      <c r="B366" s="49"/>
    </row>
    <row r="367" spans="2:2" ht="15.75" customHeight="1" x14ac:dyDescent="0.45">
      <c r="B367" s="49"/>
    </row>
    <row r="368" spans="2:2" ht="15.75" customHeight="1" x14ac:dyDescent="0.45">
      <c r="B368" s="49"/>
    </row>
    <row r="369" spans="2:2" ht="15.75" customHeight="1" x14ac:dyDescent="0.45">
      <c r="B369" s="49"/>
    </row>
    <row r="370" spans="2:2" ht="15.75" customHeight="1" x14ac:dyDescent="0.45">
      <c r="B370" s="49"/>
    </row>
    <row r="371" spans="2:2" ht="15.75" customHeight="1" x14ac:dyDescent="0.45">
      <c r="B371" s="49"/>
    </row>
    <row r="372" spans="2:2" ht="15.75" customHeight="1" x14ac:dyDescent="0.45">
      <c r="B372" s="49"/>
    </row>
    <row r="373" spans="2:2" ht="15.75" customHeight="1" x14ac:dyDescent="0.45">
      <c r="B373" s="49"/>
    </row>
    <row r="374" spans="2:2" ht="15.75" customHeight="1" x14ac:dyDescent="0.45">
      <c r="B374" s="49"/>
    </row>
    <row r="375" spans="2:2" ht="15.75" customHeight="1" x14ac:dyDescent="0.45">
      <c r="B375" s="49"/>
    </row>
    <row r="376" spans="2:2" ht="15.75" customHeight="1" x14ac:dyDescent="0.45">
      <c r="B376" s="49"/>
    </row>
    <row r="377" spans="2:2" ht="15.75" customHeight="1" x14ac:dyDescent="0.45">
      <c r="B377" s="49"/>
    </row>
    <row r="378" spans="2:2" ht="15.75" customHeight="1" x14ac:dyDescent="0.45">
      <c r="B378" s="49"/>
    </row>
    <row r="379" spans="2:2" ht="15.75" customHeight="1" x14ac:dyDescent="0.45">
      <c r="B379" s="49"/>
    </row>
    <row r="380" spans="2:2" ht="15.75" customHeight="1" x14ac:dyDescent="0.45">
      <c r="B380" s="49"/>
    </row>
    <row r="381" spans="2:2" ht="15.75" customHeight="1" x14ac:dyDescent="0.45">
      <c r="B381" s="49"/>
    </row>
    <row r="382" spans="2:2" ht="15.75" customHeight="1" x14ac:dyDescent="0.45">
      <c r="B382" s="49"/>
    </row>
    <row r="383" spans="2:2" ht="15.75" customHeight="1" x14ac:dyDescent="0.45">
      <c r="B383" s="49"/>
    </row>
    <row r="384" spans="2:2" ht="15.75" customHeight="1" x14ac:dyDescent="0.45">
      <c r="B384" s="49"/>
    </row>
    <row r="385" spans="2:2" ht="15.75" customHeight="1" x14ac:dyDescent="0.45">
      <c r="B385" s="49"/>
    </row>
    <row r="386" spans="2:2" ht="15.75" customHeight="1" x14ac:dyDescent="0.45">
      <c r="B386" s="49"/>
    </row>
    <row r="387" spans="2:2" ht="15.75" customHeight="1" x14ac:dyDescent="0.45">
      <c r="B387" s="49"/>
    </row>
    <row r="388" spans="2:2" ht="15.75" customHeight="1" x14ac:dyDescent="0.45">
      <c r="B388" s="49"/>
    </row>
    <row r="389" spans="2:2" ht="15.75" customHeight="1" x14ac:dyDescent="0.45">
      <c r="B389" s="49"/>
    </row>
    <row r="390" spans="2:2" ht="15.75" customHeight="1" x14ac:dyDescent="0.45">
      <c r="B390" s="49"/>
    </row>
    <row r="391" spans="2:2" ht="15.75" customHeight="1" x14ac:dyDescent="0.45">
      <c r="B391" s="49"/>
    </row>
    <row r="392" spans="2:2" ht="15.75" customHeight="1" x14ac:dyDescent="0.45">
      <c r="B392" s="49"/>
    </row>
    <row r="393" spans="2:2" ht="15.75" customHeight="1" x14ac:dyDescent="0.45">
      <c r="B393" s="49"/>
    </row>
    <row r="394" spans="2:2" ht="15.75" customHeight="1" x14ac:dyDescent="0.45">
      <c r="B394" s="49"/>
    </row>
    <row r="395" spans="2:2" ht="15.75" customHeight="1" x14ac:dyDescent="0.45">
      <c r="B395" s="49"/>
    </row>
    <row r="396" spans="2:2" ht="15.75" customHeight="1" x14ac:dyDescent="0.45">
      <c r="B396" s="49"/>
    </row>
    <row r="397" spans="2:2" ht="15.75" customHeight="1" x14ac:dyDescent="0.45">
      <c r="B397" s="49"/>
    </row>
    <row r="398" spans="2:2" ht="15.75" customHeight="1" x14ac:dyDescent="0.45">
      <c r="B398" s="49"/>
    </row>
    <row r="399" spans="2:2" ht="15.75" customHeight="1" x14ac:dyDescent="0.45">
      <c r="B399" s="49"/>
    </row>
    <row r="400" spans="2:2" ht="15.75" customHeight="1" x14ac:dyDescent="0.45">
      <c r="B400" s="49"/>
    </row>
    <row r="401" spans="2:2" ht="15.75" customHeight="1" x14ac:dyDescent="0.45">
      <c r="B401" s="49"/>
    </row>
    <row r="402" spans="2:2" ht="15.75" customHeight="1" x14ac:dyDescent="0.45">
      <c r="B402" s="49"/>
    </row>
    <row r="403" spans="2:2" ht="15.75" customHeight="1" x14ac:dyDescent="0.45">
      <c r="B403" s="49"/>
    </row>
    <row r="404" spans="2:2" ht="15.75" customHeight="1" x14ac:dyDescent="0.45">
      <c r="B404" s="49"/>
    </row>
    <row r="405" spans="2:2" ht="15.75" customHeight="1" x14ac:dyDescent="0.45">
      <c r="B405" s="49"/>
    </row>
    <row r="406" spans="2:2" ht="15.75" customHeight="1" x14ac:dyDescent="0.45">
      <c r="B406" s="49"/>
    </row>
    <row r="407" spans="2:2" ht="15.75" customHeight="1" x14ac:dyDescent="0.45">
      <c r="B407" s="49"/>
    </row>
    <row r="408" spans="2:2" ht="15.75" customHeight="1" x14ac:dyDescent="0.45">
      <c r="B408" s="49"/>
    </row>
    <row r="409" spans="2:2" ht="15.75" customHeight="1" x14ac:dyDescent="0.45">
      <c r="B409" s="49"/>
    </row>
    <row r="410" spans="2:2" ht="15.75" customHeight="1" x14ac:dyDescent="0.45">
      <c r="B410" s="49"/>
    </row>
    <row r="411" spans="2:2" ht="15.75" customHeight="1" x14ac:dyDescent="0.45">
      <c r="B411" s="49"/>
    </row>
    <row r="412" spans="2:2" ht="15.75" customHeight="1" x14ac:dyDescent="0.45">
      <c r="B412" s="49"/>
    </row>
    <row r="413" spans="2:2" ht="15.75" customHeight="1" x14ac:dyDescent="0.45">
      <c r="B413" s="49"/>
    </row>
    <row r="414" spans="2:2" ht="15.75" customHeight="1" x14ac:dyDescent="0.45">
      <c r="B414" s="49"/>
    </row>
    <row r="415" spans="2:2" ht="15.75" customHeight="1" x14ac:dyDescent="0.45">
      <c r="B415" s="49"/>
    </row>
    <row r="416" spans="2:2" ht="15.75" customHeight="1" x14ac:dyDescent="0.45">
      <c r="B416" s="49"/>
    </row>
    <row r="417" spans="2:2" ht="15.75" customHeight="1" x14ac:dyDescent="0.45">
      <c r="B417" s="49"/>
    </row>
    <row r="418" spans="2:2" ht="15.75" customHeight="1" x14ac:dyDescent="0.45">
      <c r="B418" s="49"/>
    </row>
    <row r="419" spans="2:2" ht="15.75" customHeight="1" x14ac:dyDescent="0.45">
      <c r="B419" s="49"/>
    </row>
    <row r="420" spans="2:2" ht="15.75" customHeight="1" x14ac:dyDescent="0.45">
      <c r="B420" s="49"/>
    </row>
    <row r="421" spans="2:2" ht="15.75" customHeight="1" x14ac:dyDescent="0.45">
      <c r="B421" s="49"/>
    </row>
    <row r="422" spans="2:2" ht="15.75" customHeight="1" x14ac:dyDescent="0.45">
      <c r="B422" s="49"/>
    </row>
    <row r="423" spans="2:2" ht="15.75" customHeight="1" x14ac:dyDescent="0.45">
      <c r="B423" s="49"/>
    </row>
    <row r="424" spans="2:2" ht="15.75" customHeight="1" x14ac:dyDescent="0.45">
      <c r="B424" s="49"/>
    </row>
    <row r="425" spans="2:2" ht="15.75" customHeight="1" x14ac:dyDescent="0.45">
      <c r="B425" s="49"/>
    </row>
    <row r="426" spans="2:2" ht="15.75" customHeight="1" x14ac:dyDescent="0.45">
      <c r="B426" s="49"/>
    </row>
    <row r="427" spans="2:2" ht="15.75" customHeight="1" x14ac:dyDescent="0.45">
      <c r="B427" s="49"/>
    </row>
    <row r="428" spans="2:2" ht="15.75" customHeight="1" x14ac:dyDescent="0.45">
      <c r="B428" s="49"/>
    </row>
    <row r="429" spans="2:2" ht="15.75" customHeight="1" x14ac:dyDescent="0.45">
      <c r="B429" s="49"/>
    </row>
    <row r="430" spans="2:2" ht="15.75" customHeight="1" x14ac:dyDescent="0.45">
      <c r="B430" s="49"/>
    </row>
    <row r="431" spans="2:2" ht="15.75" customHeight="1" x14ac:dyDescent="0.45">
      <c r="B431" s="49"/>
    </row>
    <row r="432" spans="2:2" ht="15.75" customHeight="1" x14ac:dyDescent="0.45">
      <c r="B432" s="49"/>
    </row>
    <row r="433" spans="2:2" ht="15.75" customHeight="1" x14ac:dyDescent="0.45">
      <c r="B433" s="49"/>
    </row>
    <row r="434" spans="2:2" ht="15.75" customHeight="1" x14ac:dyDescent="0.45">
      <c r="B434" s="49"/>
    </row>
    <row r="435" spans="2:2" ht="15.75" customHeight="1" x14ac:dyDescent="0.45">
      <c r="B435" s="49"/>
    </row>
    <row r="436" spans="2:2" ht="15.75" customHeight="1" x14ac:dyDescent="0.45">
      <c r="B436" s="49"/>
    </row>
    <row r="437" spans="2:2" ht="15.75" customHeight="1" x14ac:dyDescent="0.45">
      <c r="B437" s="49"/>
    </row>
    <row r="438" spans="2:2" ht="15.75" customHeight="1" x14ac:dyDescent="0.45">
      <c r="B438" s="49"/>
    </row>
    <row r="439" spans="2:2" ht="15.75" customHeight="1" x14ac:dyDescent="0.45">
      <c r="B439" s="49"/>
    </row>
    <row r="440" spans="2:2" ht="15.75" customHeight="1" x14ac:dyDescent="0.45">
      <c r="B440" s="49"/>
    </row>
    <row r="441" spans="2:2" ht="15.75" customHeight="1" x14ac:dyDescent="0.45">
      <c r="B441" s="49"/>
    </row>
    <row r="442" spans="2:2" ht="15.75" customHeight="1" x14ac:dyDescent="0.45">
      <c r="B442" s="49"/>
    </row>
    <row r="443" spans="2:2" ht="15.75" customHeight="1" x14ac:dyDescent="0.45">
      <c r="B443" s="49"/>
    </row>
    <row r="444" spans="2:2" ht="15.75" customHeight="1" x14ac:dyDescent="0.45">
      <c r="B444" s="49"/>
    </row>
    <row r="445" spans="2:2" ht="15.75" customHeight="1" x14ac:dyDescent="0.45">
      <c r="B445" s="49"/>
    </row>
    <row r="446" spans="2:2" ht="15.75" customHeight="1" x14ac:dyDescent="0.45">
      <c r="B446" s="49"/>
    </row>
    <row r="447" spans="2:2" ht="15.75" customHeight="1" x14ac:dyDescent="0.45">
      <c r="B447" s="49"/>
    </row>
    <row r="448" spans="2:2" ht="15.75" customHeight="1" x14ac:dyDescent="0.45">
      <c r="B448" s="49"/>
    </row>
    <row r="449" spans="2:2" ht="15.75" customHeight="1" x14ac:dyDescent="0.45">
      <c r="B449" s="49"/>
    </row>
    <row r="450" spans="2:2" ht="15.75" customHeight="1" x14ac:dyDescent="0.45">
      <c r="B450" s="49"/>
    </row>
    <row r="451" spans="2:2" ht="15.75" customHeight="1" x14ac:dyDescent="0.45">
      <c r="B451" s="49"/>
    </row>
    <row r="452" spans="2:2" ht="15.75" customHeight="1" x14ac:dyDescent="0.45">
      <c r="B452" s="49"/>
    </row>
    <row r="453" spans="2:2" ht="15.75" customHeight="1" x14ac:dyDescent="0.45">
      <c r="B453" s="49"/>
    </row>
    <row r="454" spans="2:2" ht="15.75" customHeight="1" x14ac:dyDescent="0.45">
      <c r="B454" s="49"/>
    </row>
    <row r="455" spans="2:2" ht="15.75" customHeight="1" x14ac:dyDescent="0.45">
      <c r="B455" s="49"/>
    </row>
    <row r="456" spans="2:2" ht="15.75" customHeight="1" x14ac:dyDescent="0.45">
      <c r="B456" s="49"/>
    </row>
    <row r="457" spans="2:2" ht="15.75" customHeight="1" x14ac:dyDescent="0.45">
      <c r="B457" s="49"/>
    </row>
    <row r="458" spans="2:2" ht="15.75" customHeight="1" x14ac:dyDescent="0.45">
      <c r="B458" s="49"/>
    </row>
    <row r="459" spans="2:2" ht="15.75" customHeight="1" x14ac:dyDescent="0.45">
      <c r="B459" s="49"/>
    </row>
    <row r="460" spans="2:2" ht="15.75" customHeight="1" x14ac:dyDescent="0.45">
      <c r="B460" s="49"/>
    </row>
    <row r="461" spans="2:2" ht="15.75" customHeight="1" x14ac:dyDescent="0.45">
      <c r="B461" s="49"/>
    </row>
    <row r="462" spans="2:2" ht="15.75" customHeight="1" x14ac:dyDescent="0.45">
      <c r="B462" s="49"/>
    </row>
    <row r="463" spans="2:2" ht="15.75" customHeight="1" x14ac:dyDescent="0.45">
      <c r="B463" s="49"/>
    </row>
    <row r="464" spans="2:2" ht="15.75" customHeight="1" x14ac:dyDescent="0.45">
      <c r="B464" s="49"/>
    </row>
    <row r="465" spans="2:2" ht="15.75" customHeight="1" x14ac:dyDescent="0.45">
      <c r="B465" s="49"/>
    </row>
    <row r="466" spans="2:2" ht="15.75" customHeight="1" x14ac:dyDescent="0.45">
      <c r="B466" s="49"/>
    </row>
    <row r="467" spans="2:2" ht="15.75" customHeight="1" x14ac:dyDescent="0.45">
      <c r="B467" s="49"/>
    </row>
    <row r="468" spans="2:2" ht="15.75" customHeight="1" x14ac:dyDescent="0.45">
      <c r="B468" s="49"/>
    </row>
    <row r="469" spans="2:2" ht="15.75" customHeight="1" x14ac:dyDescent="0.45">
      <c r="B469" s="49"/>
    </row>
    <row r="470" spans="2:2" ht="15.75" customHeight="1" x14ac:dyDescent="0.45">
      <c r="B470" s="49"/>
    </row>
    <row r="471" spans="2:2" ht="15.75" customHeight="1" x14ac:dyDescent="0.45">
      <c r="B471" s="49"/>
    </row>
    <row r="472" spans="2:2" ht="15.75" customHeight="1" x14ac:dyDescent="0.45">
      <c r="B472" s="49"/>
    </row>
    <row r="473" spans="2:2" ht="15.75" customHeight="1" x14ac:dyDescent="0.45">
      <c r="B473" s="49"/>
    </row>
    <row r="474" spans="2:2" ht="15.75" customHeight="1" x14ac:dyDescent="0.45">
      <c r="B474" s="49"/>
    </row>
    <row r="475" spans="2:2" ht="15.75" customHeight="1" x14ac:dyDescent="0.45">
      <c r="B475" s="49"/>
    </row>
    <row r="476" spans="2:2" ht="15.75" customHeight="1" x14ac:dyDescent="0.45">
      <c r="B476" s="49"/>
    </row>
    <row r="477" spans="2:2" ht="15.75" customHeight="1" x14ac:dyDescent="0.45">
      <c r="B477" s="49"/>
    </row>
    <row r="478" spans="2:2" ht="15.75" customHeight="1" x14ac:dyDescent="0.45">
      <c r="B478" s="49"/>
    </row>
    <row r="479" spans="2:2" ht="15.75" customHeight="1" x14ac:dyDescent="0.45">
      <c r="B479" s="49"/>
    </row>
    <row r="480" spans="2:2" ht="15.75" customHeight="1" x14ac:dyDescent="0.45">
      <c r="B480" s="49"/>
    </row>
    <row r="481" spans="2:2" ht="15.75" customHeight="1" x14ac:dyDescent="0.45">
      <c r="B481" s="49"/>
    </row>
    <row r="482" spans="2:2" ht="15.75" customHeight="1" x14ac:dyDescent="0.45">
      <c r="B482" s="49"/>
    </row>
    <row r="483" spans="2:2" ht="15.75" customHeight="1" x14ac:dyDescent="0.45">
      <c r="B483" s="49"/>
    </row>
    <row r="484" spans="2:2" ht="15.75" customHeight="1" x14ac:dyDescent="0.45">
      <c r="B484" s="49"/>
    </row>
    <row r="485" spans="2:2" ht="15.75" customHeight="1" x14ac:dyDescent="0.45">
      <c r="B485" s="49"/>
    </row>
    <row r="486" spans="2:2" ht="15.75" customHeight="1" x14ac:dyDescent="0.45">
      <c r="B486" s="49"/>
    </row>
    <row r="487" spans="2:2" ht="15.75" customHeight="1" x14ac:dyDescent="0.45">
      <c r="B487" s="49"/>
    </row>
    <row r="488" spans="2:2" ht="15.75" customHeight="1" x14ac:dyDescent="0.45">
      <c r="B488" s="49"/>
    </row>
    <row r="489" spans="2:2" ht="15.75" customHeight="1" x14ac:dyDescent="0.45">
      <c r="B489" s="49"/>
    </row>
    <row r="490" spans="2:2" ht="15.75" customHeight="1" x14ac:dyDescent="0.45">
      <c r="B490" s="49"/>
    </row>
    <row r="491" spans="2:2" ht="15.75" customHeight="1" x14ac:dyDescent="0.45">
      <c r="B491" s="49"/>
    </row>
    <row r="492" spans="2:2" ht="15.75" customHeight="1" x14ac:dyDescent="0.45">
      <c r="B492" s="49"/>
    </row>
    <row r="493" spans="2:2" ht="15.75" customHeight="1" x14ac:dyDescent="0.45">
      <c r="B493" s="49"/>
    </row>
    <row r="494" spans="2:2" ht="15.75" customHeight="1" x14ac:dyDescent="0.45">
      <c r="B494" s="49"/>
    </row>
    <row r="495" spans="2:2" ht="15.75" customHeight="1" x14ac:dyDescent="0.45">
      <c r="B495" s="49"/>
    </row>
    <row r="496" spans="2:2" ht="15.75" customHeight="1" x14ac:dyDescent="0.45">
      <c r="B496" s="49"/>
    </row>
    <row r="497" spans="2:2" ht="15.75" customHeight="1" x14ac:dyDescent="0.45">
      <c r="B497" s="49"/>
    </row>
    <row r="498" spans="2:2" ht="15.75" customHeight="1" x14ac:dyDescent="0.45">
      <c r="B498" s="49"/>
    </row>
    <row r="499" spans="2:2" ht="15.75" customHeight="1" x14ac:dyDescent="0.45">
      <c r="B499" s="49"/>
    </row>
    <row r="500" spans="2:2" ht="15.75" customHeight="1" x14ac:dyDescent="0.45">
      <c r="B500" s="49"/>
    </row>
    <row r="501" spans="2:2" ht="15.75" customHeight="1" x14ac:dyDescent="0.45">
      <c r="B501" s="49"/>
    </row>
    <row r="502" spans="2:2" ht="15.75" customHeight="1" x14ac:dyDescent="0.45">
      <c r="B502" s="49"/>
    </row>
    <row r="503" spans="2:2" ht="15.75" customHeight="1" x14ac:dyDescent="0.45">
      <c r="B503" s="49"/>
    </row>
    <row r="504" spans="2:2" ht="15.75" customHeight="1" x14ac:dyDescent="0.45">
      <c r="B504" s="49"/>
    </row>
    <row r="505" spans="2:2" ht="15.75" customHeight="1" x14ac:dyDescent="0.45">
      <c r="B505" s="49"/>
    </row>
    <row r="506" spans="2:2" ht="15.75" customHeight="1" x14ac:dyDescent="0.45">
      <c r="B506" s="49"/>
    </row>
    <row r="507" spans="2:2" ht="15.75" customHeight="1" x14ac:dyDescent="0.45">
      <c r="B507" s="49"/>
    </row>
    <row r="508" spans="2:2" ht="15.75" customHeight="1" x14ac:dyDescent="0.45">
      <c r="B508" s="49"/>
    </row>
    <row r="509" spans="2:2" ht="15.75" customHeight="1" x14ac:dyDescent="0.45">
      <c r="B509" s="49"/>
    </row>
    <row r="510" spans="2:2" ht="15.75" customHeight="1" x14ac:dyDescent="0.45">
      <c r="B510" s="49"/>
    </row>
    <row r="511" spans="2:2" ht="15.75" customHeight="1" x14ac:dyDescent="0.45">
      <c r="B511" s="49"/>
    </row>
    <row r="512" spans="2:2" ht="15.75" customHeight="1" x14ac:dyDescent="0.45">
      <c r="B512" s="49"/>
    </row>
    <row r="513" spans="2:2" ht="15.75" customHeight="1" x14ac:dyDescent="0.45">
      <c r="B513" s="49"/>
    </row>
    <row r="514" spans="2:2" ht="15.75" customHeight="1" x14ac:dyDescent="0.45">
      <c r="B514" s="49"/>
    </row>
    <row r="515" spans="2:2" ht="15.75" customHeight="1" x14ac:dyDescent="0.45">
      <c r="B515" s="49"/>
    </row>
    <row r="516" spans="2:2" ht="15.75" customHeight="1" x14ac:dyDescent="0.45">
      <c r="B516" s="49"/>
    </row>
    <row r="517" spans="2:2" ht="15.75" customHeight="1" x14ac:dyDescent="0.45">
      <c r="B517" s="49"/>
    </row>
    <row r="518" spans="2:2" ht="15.75" customHeight="1" x14ac:dyDescent="0.45">
      <c r="B518" s="49"/>
    </row>
    <row r="519" spans="2:2" ht="15.75" customHeight="1" x14ac:dyDescent="0.45">
      <c r="B519" s="49"/>
    </row>
    <row r="520" spans="2:2" ht="15.75" customHeight="1" x14ac:dyDescent="0.45">
      <c r="B520" s="49"/>
    </row>
    <row r="521" spans="2:2" ht="15.75" customHeight="1" x14ac:dyDescent="0.45">
      <c r="B521" s="49"/>
    </row>
    <row r="522" spans="2:2" ht="15.75" customHeight="1" x14ac:dyDescent="0.45">
      <c r="B522" s="49"/>
    </row>
    <row r="523" spans="2:2" ht="15.75" customHeight="1" x14ac:dyDescent="0.45">
      <c r="B523" s="49"/>
    </row>
    <row r="524" spans="2:2" ht="15.75" customHeight="1" x14ac:dyDescent="0.45">
      <c r="B524" s="49"/>
    </row>
    <row r="525" spans="2:2" ht="15.75" customHeight="1" x14ac:dyDescent="0.45">
      <c r="B525" s="49"/>
    </row>
    <row r="526" spans="2:2" ht="15.75" customHeight="1" x14ac:dyDescent="0.45">
      <c r="B526" s="49"/>
    </row>
    <row r="527" spans="2:2" ht="15.75" customHeight="1" x14ac:dyDescent="0.45">
      <c r="B527" s="49"/>
    </row>
    <row r="528" spans="2:2" ht="15.75" customHeight="1" x14ac:dyDescent="0.45">
      <c r="B528" s="49"/>
    </row>
    <row r="529" spans="2:2" ht="15.75" customHeight="1" x14ac:dyDescent="0.45">
      <c r="B529" s="49"/>
    </row>
    <row r="530" spans="2:2" ht="15.75" customHeight="1" x14ac:dyDescent="0.45">
      <c r="B530" s="49"/>
    </row>
    <row r="531" spans="2:2" ht="15.75" customHeight="1" x14ac:dyDescent="0.45">
      <c r="B531" s="49"/>
    </row>
    <row r="532" spans="2:2" ht="15.75" customHeight="1" x14ac:dyDescent="0.45">
      <c r="B532" s="49"/>
    </row>
    <row r="533" spans="2:2" ht="15.75" customHeight="1" x14ac:dyDescent="0.45">
      <c r="B533" s="49"/>
    </row>
    <row r="534" spans="2:2" ht="15.75" customHeight="1" x14ac:dyDescent="0.45">
      <c r="B534" s="49"/>
    </row>
    <row r="535" spans="2:2" ht="15.75" customHeight="1" x14ac:dyDescent="0.45">
      <c r="B535" s="49"/>
    </row>
    <row r="536" spans="2:2" ht="15.75" customHeight="1" x14ac:dyDescent="0.45">
      <c r="B536" s="49"/>
    </row>
    <row r="537" spans="2:2" ht="15.75" customHeight="1" x14ac:dyDescent="0.45">
      <c r="B537" s="49"/>
    </row>
    <row r="538" spans="2:2" ht="15.75" customHeight="1" x14ac:dyDescent="0.45">
      <c r="B538" s="49"/>
    </row>
    <row r="539" spans="2:2" ht="15.75" customHeight="1" x14ac:dyDescent="0.45">
      <c r="B539" s="49"/>
    </row>
    <row r="540" spans="2:2" ht="15.75" customHeight="1" x14ac:dyDescent="0.45">
      <c r="B540" s="49"/>
    </row>
    <row r="541" spans="2:2" ht="15.75" customHeight="1" x14ac:dyDescent="0.45">
      <c r="B541" s="49"/>
    </row>
    <row r="542" spans="2:2" ht="15.75" customHeight="1" x14ac:dyDescent="0.45">
      <c r="B542" s="49"/>
    </row>
    <row r="543" spans="2:2" ht="15.75" customHeight="1" x14ac:dyDescent="0.45">
      <c r="B543" s="49"/>
    </row>
    <row r="544" spans="2:2" ht="15.75" customHeight="1" x14ac:dyDescent="0.45">
      <c r="B544" s="49"/>
    </row>
    <row r="545" spans="2:2" ht="15.75" customHeight="1" x14ac:dyDescent="0.45">
      <c r="B545" s="49"/>
    </row>
    <row r="546" spans="2:2" ht="15.75" customHeight="1" x14ac:dyDescent="0.45">
      <c r="B546" s="49"/>
    </row>
    <row r="547" spans="2:2" ht="15.75" customHeight="1" x14ac:dyDescent="0.45">
      <c r="B547" s="49"/>
    </row>
    <row r="548" spans="2:2" ht="15.75" customHeight="1" x14ac:dyDescent="0.45">
      <c r="B548" s="49"/>
    </row>
    <row r="549" spans="2:2" ht="15.75" customHeight="1" x14ac:dyDescent="0.45">
      <c r="B549" s="49"/>
    </row>
    <row r="550" spans="2:2" ht="15.75" customHeight="1" x14ac:dyDescent="0.45">
      <c r="B550" s="49"/>
    </row>
    <row r="551" spans="2:2" ht="15.75" customHeight="1" x14ac:dyDescent="0.45">
      <c r="B551" s="49"/>
    </row>
    <row r="552" spans="2:2" ht="15.75" customHeight="1" x14ac:dyDescent="0.45">
      <c r="B552" s="49"/>
    </row>
    <row r="553" spans="2:2" ht="15.75" customHeight="1" x14ac:dyDescent="0.45">
      <c r="B553" s="49"/>
    </row>
    <row r="554" spans="2:2" ht="15.75" customHeight="1" x14ac:dyDescent="0.45">
      <c r="B554" s="49"/>
    </row>
    <row r="555" spans="2:2" ht="15.75" customHeight="1" x14ac:dyDescent="0.45">
      <c r="B555" s="49"/>
    </row>
    <row r="556" spans="2:2" ht="15.75" customHeight="1" x14ac:dyDescent="0.45">
      <c r="B556" s="49"/>
    </row>
    <row r="557" spans="2:2" ht="15.75" customHeight="1" x14ac:dyDescent="0.45">
      <c r="B557" s="49"/>
    </row>
    <row r="558" spans="2:2" ht="15.75" customHeight="1" x14ac:dyDescent="0.45">
      <c r="B558" s="49"/>
    </row>
    <row r="559" spans="2:2" ht="15.75" customHeight="1" x14ac:dyDescent="0.45">
      <c r="B559" s="49"/>
    </row>
    <row r="560" spans="2:2" ht="15.75" customHeight="1" x14ac:dyDescent="0.45">
      <c r="B560" s="49"/>
    </row>
    <row r="561" spans="2:2" ht="15.75" customHeight="1" x14ac:dyDescent="0.45">
      <c r="B561" s="49"/>
    </row>
    <row r="562" spans="2:2" ht="15.75" customHeight="1" x14ac:dyDescent="0.45">
      <c r="B562" s="49"/>
    </row>
    <row r="563" spans="2:2" ht="15.75" customHeight="1" x14ac:dyDescent="0.45">
      <c r="B563" s="49"/>
    </row>
    <row r="564" spans="2:2" ht="15.75" customHeight="1" x14ac:dyDescent="0.45">
      <c r="B564" s="49"/>
    </row>
    <row r="565" spans="2:2" ht="15.75" customHeight="1" x14ac:dyDescent="0.45">
      <c r="B565" s="49"/>
    </row>
    <row r="566" spans="2:2" ht="15.75" customHeight="1" x14ac:dyDescent="0.45">
      <c r="B566" s="49"/>
    </row>
    <row r="567" spans="2:2" ht="15.75" customHeight="1" x14ac:dyDescent="0.45">
      <c r="B567" s="49"/>
    </row>
    <row r="568" spans="2:2" ht="15.75" customHeight="1" x14ac:dyDescent="0.45">
      <c r="B568" s="49"/>
    </row>
    <row r="569" spans="2:2" ht="15.75" customHeight="1" x14ac:dyDescent="0.45">
      <c r="B569" s="49"/>
    </row>
    <row r="570" spans="2:2" ht="15.75" customHeight="1" x14ac:dyDescent="0.45">
      <c r="B570" s="49"/>
    </row>
    <row r="571" spans="2:2" ht="15.75" customHeight="1" x14ac:dyDescent="0.45">
      <c r="B571" s="49"/>
    </row>
    <row r="572" spans="2:2" ht="15.75" customHeight="1" x14ac:dyDescent="0.45">
      <c r="B572" s="49"/>
    </row>
    <row r="573" spans="2:2" ht="15.75" customHeight="1" x14ac:dyDescent="0.45">
      <c r="B573" s="49"/>
    </row>
    <row r="574" spans="2:2" ht="15.75" customHeight="1" x14ac:dyDescent="0.45">
      <c r="B574" s="49"/>
    </row>
    <row r="575" spans="2:2" ht="15.75" customHeight="1" x14ac:dyDescent="0.45">
      <c r="B575" s="49"/>
    </row>
    <row r="576" spans="2:2" ht="15.75" customHeight="1" x14ac:dyDescent="0.45">
      <c r="B576" s="49"/>
    </row>
    <row r="577" spans="2:2" ht="15.75" customHeight="1" x14ac:dyDescent="0.45">
      <c r="B577" s="49"/>
    </row>
    <row r="578" spans="2:2" ht="15.75" customHeight="1" x14ac:dyDescent="0.45">
      <c r="B578" s="49"/>
    </row>
    <row r="579" spans="2:2" ht="15.75" customHeight="1" x14ac:dyDescent="0.45">
      <c r="B579" s="49"/>
    </row>
    <row r="580" spans="2:2" ht="15.75" customHeight="1" x14ac:dyDescent="0.45">
      <c r="B580" s="49"/>
    </row>
    <row r="581" spans="2:2" ht="15.75" customHeight="1" x14ac:dyDescent="0.45">
      <c r="B581" s="49"/>
    </row>
    <row r="582" spans="2:2" ht="15.75" customHeight="1" x14ac:dyDescent="0.45">
      <c r="B582" s="49"/>
    </row>
    <row r="583" spans="2:2" ht="15.75" customHeight="1" x14ac:dyDescent="0.45">
      <c r="B583" s="49"/>
    </row>
    <row r="584" spans="2:2" ht="15.75" customHeight="1" x14ac:dyDescent="0.45">
      <c r="B584" s="49"/>
    </row>
    <row r="585" spans="2:2" ht="15.75" customHeight="1" x14ac:dyDescent="0.45">
      <c r="B585" s="49"/>
    </row>
    <row r="586" spans="2:2" ht="15.75" customHeight="1" x14ac:dyDescent="0.45">
      <c r="B586" s="49"/>
    </row>
    <row r="587" spans="2:2" ht="15.75" customHeight="1" x14ac:dyDescent="0.45">
      <c r="B587" s="49"/>
    </row>
    <row r="588" spans="2:2" ht="15.75" customHeight="1" x14ac:dyDescent="0.45">
      <c r="B588" s="49"/>
    </row>
    <row r="589" spans="2:2" ht="15.75" customHeight="1" x14ac:dyDescent="0.45">
      <c r="B589" s="49"/>
    </row>
    <row r="590" spans="2:2" ht="15.75" customHeight="1" x14ac:dyDescent="0.45">
      <c r="B590" s="49"/>
    </row>
    <row r="591" spans="2:2" ht="15.75" customHeight="1" x14ac:dyDescent="0.45">
      <c r="B591" s="49"/>
    </row>
    <row r="592" spans="2:2" ht="15.75" customHeight="1" x14ac:dyDescent="0.45">
      <c r="B592" s="49"/>
    </row>
    <row r="593" spans="2:2" ht="15.75" customHeight="1" x14ac:dyDescent="0.45">
      <c r="B593" s="49"/>
    </row>
    <row r="594" spans="2:2" ht="15.75" customHeight="1" x14ac:dyDescent="0.45">
      <c r="B594" s="49"/>
    </row>
    <row r="595" spans="2:2" ht="15.75" customHeight="1" x14ac:dyDescent="0.45">
      <c r="B595" s="49"/>
    </row>
    <row r="596" spans="2:2" ht="15.75" customHeight="1" x14ac:dyDescent="0.45">
      <c r="B596" s="49"/>
    </row>
    <row r="597" spans="2:2" ht="15.75" customHeight="1" x14ac:dyDescent="0.45">
      <c r="B597" s="49"/>
    </row>
    <row r="598" spans="2:2" ht="15.75" customHeight="1" x14ac:dyDescent="0.45">
      <c r="B598" s="49"/>
    </row>
    <row r="599" spans="2:2" ht="15.75" customHeight="1" x14ac:dyDescent="0.45">
      <c r="B599" s="49"/>
    </row>
    <row r="600" spans="2:2" ht="15.75" customHeight="1" x14ac:dyDescent="0.45">
      <c r="B600" s="49"/>
    </row>
    <row r="601" spans="2:2" ht="15.75" customHeight="1" x14ac:dyDescent="0.45">
      <c r="B601" s="49"/>
    </row>
    <row r="602" spans="2:2" ht="15.75" customHeight="1" x14ac:dyDescent="0.45">
      <c r="B602" s="49"/>
    </row>
    <row r="603" spans="2:2" ht="15.75" customHeight="1" x14ac:dyDescent="0.45">
      <c r="B603" s="49"/>
    </row>
    <row r="604" spans="2:2" ht="15.75" customHeight="1" x14ac:dyDescent="0.45">
      <c r="B604" s="49"/>
    </row>
    <row r="605" spans="2:2" ht="15.75" customHeight="1" x14ac:dyDescent="0.45">
      <c r="B605" s="49"/>
    </row>
    <row r="606" spans="2:2" ht="15.75" customHeight="1" x14ac:dyDescent="0.45">
      <c r="B606" s="49"/>
    </row>
    <row r="607" spans="2:2" ht="15.75" customHeight="1" x14ac:dyDescent="0.45">
      <c r="B607" s="49"/>
    </row>
    <row r="608" spans="2:2" ht="15.75" customHeight="1" x14ac:dyDescent="0.45">
      <c r="B608" s="49"/>
    </row>
    <row r="609" spans="2:2" ht="15.75" customHeight="1" x14ac:dyDescent="0.45">
      <c r="B609" s="49"/>
    </row>
    <row r="610" spans="2:2" ht="15.75" customHeight="1" x14ac:dyDescent="0.45">
      <c r="B610" s="49"/>
    </row>
    <row r="611" spans="2:2" ht="15.75" customHeight="1" x14ac:dyDescent="0.45">
      <c r="B611" s="49"/>
    </row>
    <row r="612" spans="2:2" ht="15.75" customHeight="1" x14ac:dyDescent="0.45">
      <c r="B612" s="49"/>
    </row>
    <row r="613" spans="2:2" ht="15.75" customHeight="1" x14ac:dyDescent="0.45">
      <c r="B613" s="49"/>
    </row>
    <row r="614" spans="2:2" ht="15.75" customHeight="1" x14ac:dyDescent="0.45">
      <c r="B614" s="49"/>
    </row>
    <row r="615" spans="2:2" ht="15.75" customHeight="1" x14ac:dyDescent="0.45">
      <c r="B615" s="49"/>
    </row>
    <row r="616" spans="2:2" ht="15.75" customHeight="1" x14ac:dyDescent="0.45">
      <c r="B616" s="49"/>
    </row>
    <row r="617" spans="2:2" ht="15.75" customHeight="1" x14ac:dyDescent="0.45">
      <c r="B617" s="49"/>
    </row>
    <row r="618" spans="2:2" ht="15.75" customHeight="1" x14ac:dyDescent="0.45">
      <c r="B618" s="49"/>
    </row>
    <row r="619" spans="2:2" ht="15.75" customHeight="1" x14ac:dyDescent="0.45">
      <c r="B619" s="49"/>
    </row>
    <row r="620" spans="2:2" ht="15.75" customHeight="1" x14ac:dyDescent="0.45">
      <c r="B620" s="49"/>
    </row>
    <row r="621" spans="2:2" ht="15.75" customHeight="1" x14ac:dyDescent="0.45">
      <c r="B621" s="49"/>
    </row>
    <row r="622" spans="2:2" ht="15.75" customHeight="1" x14ac:dyDescent="0.45">
      <c r="B622" s="49"/>
    </row>
    <row r="623" spans="2:2" ht="15.75" customHeight="1" x14ac:dyDescent="0.45">
      <c r="B623" s="49"/>
    </row>
    <row r="624" spans="2:2" ht="15.75" customHeight="1" x14ac:dyDescent="0.45">
      <c r="B624" s="49"/>
    </row>
    <row r="625" spans="2:2" ht="15.75" customHeight="1" x14ac:dyDescent="0.45">
      <c r="B625" s="49"/>
    </row>
    <row r="626" spans="2:2" ht="15.75" customHeight="1" x14ac:dyDescent="0.45">
      <c r="B626" s="49"/>
    </row>
    <row r="627" spans="2:2" ht="15.75" customHeight="1" x14ac:dyDescent="0.45">
      <c r="B627" s="49"/>
    </row>
    <row r="628" spans="2:2" ht="15.75" customHeight="1" x14ac:dyDescent="0.45">
      <c r="B628" s="49"/>
    </row>
    <row r="629" spans="2:2" ht="15.75" customHeight="1" x14ac:dyDescent="0.45">
      <c r="B629" s="49"/>
    </row>
    <row r="630" spans="2:2" ht="15.75" customHeight="1" x14ac:dyDescent="0.45">
      <c r="B630" s="49"/>
    </row>
    <row r="631" spans="2:2" ht="15.75" customHeight="1" x14ac:dyDescent="0.45">
      <c r="B631" s="49"/>
    </row>
    <row r="632" spans="2:2" ht="15.75" customHeight="1" x14ac:dyDescent="0.45">
      <c r="B632" s="49"/>
    </row>
    <row r="633" spans="2:2" ht="15.75" customHeight="1" x14ac:dyDescent="0.45">
      <c r="B633" s="49"/>
    </row>
    <row r="634" spans="2:2" ht="15.75" customHeight="1" x14ac:dyDescent="0.45">
      <c r="B634" s="49"/>
    </row>
    <row r="635" spans="2:2" ht="15.75" customHeight="1" x14ac:dyDescent="0.45">
      <c r="B635" s="49"/>
    </row>
    <row r="636" spans="2:2" ht="15.75" customHeight="1" x14ac:dyDescent="0.45">
      <c r="B636" s="49"/>
    </row>
    <row r="637" spans="2:2" ht="15.75" customHeight="1" x14ac:dyDescent="0.45">
      <c r="B637" s="49"/>
    </row>
    <row r="638" spans="2:2" ht="15.75" customHeight="1" x14ac:dyDescent="0.45">
      <c r="B638" s="49"/>
    </row>
    <row r="639" spans="2:2" ht="15.75" customHeight="1" x14ac:dyDescent="0.45">
      <c r="B639" s="49"/>
    </row>
    <row r="640" spans="2:2" ht="15.75" customHeight="1" x14ac:dyDescent="0.45">
      <c r="B640" s="49"/>
    </row>
    <row r="641" spans="2:2" ht="15.75" customHeight="1" x14ac:dyDescent="0.45">
      <c r="B641" s="49"/>
    </row>
    <row r="642" spans="2:2" ht="15.75" customHeight="1" x14ac:dyDescent="0.45">
      <c r="B642" s="49"/>
    </row>
    <row r="643" spans="2:2" ht="15.75" customHeight="1" x14ac:dyDescent="0.45">
      <c r="B643" s="49"/>
    </row>
    <row r="644" spans="2:2" ht="15.75" customHeight="1" x14ac:dyDescent="0.45">
      <c r="B644" s="49"/>
    </row>
    <row r="645" spans="2:2" ht="15.75" customHeight="1" x14ac:dyDescent="0.45">
      <c r="B645" s="49"/>
    </row>
    <row r="646" spans="2:2" ht="15.75" customHeight="1" x14ac:dyDescent="0.45">
      <c r="B646" s="49"/>
    </row>
    <row r="647" spans="2:2" ht="15.75" customHeight="1" x14ac:dyDescent="0.45">
      <c r="B647" s="49"/>
    </row>
    <row r="648" spans="2:2" ht="15.75" customHeight="1" x14ac:dyDescent="0.45">
      <c r="B648" s="49"/>
    </row>
    <row r="649" spans="2:2" ht="15.75" customHeight="1" x14ac:dyDescent="0.45">
      <c r="B649" s="49"/>
    </row>
    <row r="650" spans="2:2" ht="15.75" customHeight="1" x14ac:dyDescent="0.45">
      <c r="B650" s="49"/>
    </row>
    <row r="651" spans="2:2" ht="15.75" customHeight="1" x14ac:dyDescent="0.45">
      <c r="B651" s="49"/>
    </row>
    <row r="652" spans="2:2" ht="15.75" customHeight="1" x14ac:dyDescent="0.45">
      <c r="B652" s="49"/>
    </row>
    <row r="653" spans="2:2" ht="15.75" customHeight="1" x14ac:dyDescent="0.45">
      <c r="B653" s="49"/>
    </row>
    <row r="654" spans="2:2" ht="15.75" customHeight="1" x14ac:dyDescent="0.45">
      <c r="B654" s="49"/>
    </row>
    <row r="655" spans="2:2" ht="15.75" customHeight="1" x14ac:dyDescent="0.45">
      <c r="B655" s="49"/>
    </row>
    <row r="656" spans="2:2" ht="15.75" customHeight="1" x14ac:dyDescent="0.45">
      <c r="B656" s="49"/>
    </row>
    <row r="657" spans="2:2" ht="15.75" customHeight="1" x14ac:dyDescent="0.45">
      <c r="B657" s="49"/>
    </row>
    <row r="658" spans="2:2" ht="15.75" customHeight="1" x14ac:dyDescent="0.45">
      <c r="B658" s="49"/>
    </row>
    <row r="659" spans="2:2" ht="15.75" customHeight="1" x14ac:dyDescent="0.45">
      <c r="B659" s="49"/>
    </row>
    <row r="660" spans="2:2" ht="15.75" customHeight="1" x14ac:dyDescent="0.45">
      <c r="B660" s="49"/>
    </row>
    <row r="661" spans="2:2" ht="15.75" customHeight="1" x14ac:dyDescent="0.45">
      <c r="B661" s="49"/>
    </row>
    <row r="662" spans="2:2" ht="15.75" customHeight="1" x14ac:dyDescent="0.45">
      <c r="B662" s="49"/>
    </row>
    <row r="663" spans="2:2" ht="15.75" customHeight="1" x14ac:dyDescent="0.45">
      <c r="B663" s="49"/>
    </row>
    <row r="664" spans="2:2" ht="15.75" customHeight="1" x14ac:dyDescent="0.45">
      <c r="B664" s="49"/>
    </row>
    <row r="665" spans="2:2" ht="15.75" customHeight="1" x14ac:dyDescent="0.45">
      <c r="B665" s="49"/>
    </row>
    <row r="666" spans="2:2" ht="15.75" customHeight="1" x14ac:dyDescent="0.45">
      <c r="B666" s="49"/>
    </row>
    <row r="667" spans="2:2" ht="15.75" customHeight="1" x14ac:dyDescent="0.45">
      <c r="B667" s="49"/>
    </row>
    <row r="668" spans="2:2" ht="15.75" customHeight="1" x14ac:dyDescent="0.45">
      <c r="B668" s="49"/>
    </row>
    <row r="669" spans="2:2" ht="15.75" customHeight="1" x14ac:dyDescent="0.45">
      <c r="B669" s="49"/>
    </row>
    <row r="670" spans="2:2" ht="15.75" customHeight="1" x14ac:dyDescent="0.45">
      <c r="B670" s="49"/>
    </row>
    <row r="671" spans="2:2" ht="15.75" customHeight="1" x14ac:dyDescent="0.45">
      <c r="B671" s="49"/>
    </row>
    <row r="672" spans="2:2" ht="15.75" customHeight="1" x14ac:dyDescent="0.45">
      <c r="B672" s="49"/>
    </row>
    <row r="673" spans="2:2" ht="15.75" customHeight="1" x14ac:dyDescent="0.45">
      <c r="B673" s="49"/>
    </row>
    <row r="674" spans="2:2" ht="15.75" customHeight="1" x14ac:dyDescent="0.45">
      <c r="B674" s="49"/>
    </row>
    <row r="675" spans="2:2" ht="15.75" customHeight="1" x14ac:dyDescent="0.45">
      <c r="B675" s="49"/>
    </row>
    <row r="676" spans="2:2" ht="15.75" customHeight="1" x14ac:dyDescent="0.45">
      <c r="B676" s="49"/>
    </row>
    <row r="677" spans="2:2" ht="15.75" customHeight="1" x14ac:dyDescent="0.45">
      <c r="B677" s="49"/>
    </row>
    <row r="678" spans="2:2" ht="15.75" customHeight="1" x14ac:dyDescent="0.45">
      <c r="B678" s="49"/>
    </row>
    <row r="679" spans="2:2" ht="15.75" customHeight="1" x14ac:dyDescent="0.45">
      <c r="B679" s="49"/>
    </row>
    <row r="680" spans="2:2" ht="15.75" customHeight="1" x14ac:dyDescent="0.45">
      <c r="B680" s="49"/>
    </row>
    <row r="681" spans="2:2" ht="15.75" customHeight="1" x14ac:dyDescent="0.45">
      <c r="B681" s="49"/>
    </row>
    <row r="682" spans="2:2" ht="15.75" customHeight="1" x14ac:dyDescent="0.45">
      <c r="B682" s="49"/>
    </row>
    <row r="683" spans="2:2" ht="15.75" customHeight="1" x14ac:dyDescent="0.45">
      <c r="B683" s="49"/>
    </row>
    <row r="684" spans="2:2" ht="15.75" customHeight="1" x14ac:dyDescent="0.45">
      <c r="B684" s="49"/>
    </row>
    <row r="685" spans="2:2" ht="15.75" customHeight="1" x14ac:dyDescent="0.45">
      <c r="B685" s="49"/>
    </row>
    <row r="686" spans="2:2" ht="15.75" customHeight="1" x14ac:dyDescent="0.45">
      <c r="B686" s="49"/>
    </row>
    <row r="687" spans="2:2" ht="15.75" customHeight="1" x14ac:dyDescent="0.45">
      <c r="B687" s="49"/>
    </row>
    <row r="688" spans="2:2" ht="15.75" customHeight="1" x14ac:dyDescent="0.45">
      <c r="B688" s="49"/>
    </row>
    <row r="689" spans="2:2" ht="15.75" customHeight="1" x14ac:dyDescent="0.45">
      <c r="B689" s="49"/>
    </row>
    <row r="690" spans="2:2" ht="15.75" customHeight="1" x14ac:dyDescent="0.45">
      <c r="B690" s="49"/>
    </row>
    <row r="691" spans="2:2" ht="15.75" customHeight="1" x14ac:dyDescent="0.45">
      <c r="B691" s="49"/>
    </row>
    <row r="692" spans="2:2" ht="15.75" customHeight="1" x14ac:dyDescent="0.45">
      <c r="B692" s="49"/>
    </row>
    <row r="693" spans="2:2" ht="15.75" customHeight="1" x14ac:dyDescent="0.45">
      <c r="B693" s="49"/>
    </row>
    <row r="694" spans="2:2" ht="15.75" customHeight="1" x14ac:dyDescent="0.45">
      <c r="B694" s="49"/>
    </row>
    <row r="695" spans="2:2" ht="15.75" customHeight="1" x14ac:dyDescent="0.45">
      <c r="B695" s="49"/>
    </row>
    <row r="696" spans="2:2" ht="15.75" customHeight="1" x14ac:dyDescent="0.45">
      <c r="B696" s="49"/>
    </row>
    <row r="697" spans="2:2" ht="15.75" customHeight="1" x14ac:dyDescent="0.45">
      <c r="B697" s="49"/>
    </row>
    <row r="698" spans="2:2" ht="15.75" customHeight="1" x14ac:dyDescent="0.45">
      <c r="B698" s="49"/>
    </row>
    <row r="699" spans="2:2" ht="15.75" customHeight="1" x14ac:dyDescent="0.45">
      <c r="B699" s="49"/>
    </row>
    <row r="700" spans="2:2" ht="15.75" customHeight="1" x14ac:dyDescent="0.45">
      <c r="B700" s="49"/>
    </row>
    <row r="701" spans="2:2" ht="15.75" customHeight="1" x14ac:dyDescent="0.45">
      <c r="B701" s="49"/>
    </row>
    <row r="702" spans="2:2" ht="15.75" customHeight="1" x14ac:dyDescent="0.45">
      <c r="B702" s="49"/>
    </row>
    <row r="703" spans="2:2" ht="15.75" customHeight="1" x14ac:dyDescent="0.45">
      <c r="B703" s="49"/>
    </row>
    <row r="704" spans="2:2" ht="15.75" customHeight="1" x14ac:dyDescent="0.45">
      <c r="B704" s="49"/>
    </row>
    <row r="705" spans="2:2" ht="15.75" customHeight="1" x14ac:dyDescent="0.45">
      <c r="B705" s="49"/>
    </row>
    <row r="706" spans="2:2" ht="15.75" customHeight="1" x14ac:dyDescent="0.45">
      <c r="B706" s="49"/>
    </row>
    <row r="707" spans="2:2" ht="15.75" customHeight="1" x14ac:dyDescent="0.45">
      <c r="B707" s="49"/>
    </row>
    <row r="708" spans="2:2" ht="15.75" customHeight="1" x14ac:dyDescent="0.45">
      <c r="B708" s="49"/>
    </row>
    <row r="709" spans="2:2" ht="15.75" customHeight="1" x14ac:dyDescent="0.45">
      <c r="B709" s="49"/>
    </row>
    <row r="710" spans="2:2" ht="15.75" customHeight="1" x14ac:dyDescent="0.45">
      <c r="B710" s="49"/>
    </row>
    <row r="711" spans="2:2" ht="15.75" customHeight="1" x14ac:dyDescent="0.45">
      <c r="B711" s="49"/>
    </row>
    <row r="712" spans="2:2" ht="15.75" customHeight="1" x14ac:dyDescent="0.45">
      <c r="B712" s="49"/>
    </row>
    <row r="713" spans="2:2" ht="15.75" customHeight="1" x14ac:dyDescent="0.45">
      <c r="B713" s="49"/>
    </row>
    <row r="714" spans="2:2" ht="15.75" customHeight="1" x14ac:dyDescent="0.45">
      <c r="B714" s="49"/>
    </row>
    <row r="715" spans="2:2" ht="15.75" customHeight="1" x14ac:dyDescent="0.45">
      <c r="B715" s="49"/>
    </row>
    <row r="716" spans="2:2" ht="15.75" customHeight="1" x14ac:dyDescent="0.45">
      <c r="B716" s="49"/>
    </row>
    <row r="717" spans="2:2" ht="15.75" customHeight="1" x14ac:dyDescent="0.45">
      <c r="B717" s="49"/>
    </row>
    <row r="718" spans="2:2" ht="15.75" customHeight="1" x14ac:dyDescent="0.45">
      <c r="B718" s="49"/>
    </row>
    <row r="719" spans="2:2" ht="15.75" customHeight="1" x14ac:dyDescent="0.45">
      <c r="B719" s="49"/>
    </row>
    <row r="720" spans="2:2" ht="15.75" customHeight="1" x14ac:dyDescent="0.45">
      <c r="B720" s="49"/>
    </row>
    <row r="721" spans="2:2" ht="15.75" customHeight="1" x14ac:dyDescent="0.45">
      <c r="B721" s="49"/>
    </row>
    <row r="722" spans="2:2" ht="15.75" customHeight="1" x14ac:dyDescent="0.45">
      <c r="B722" s="49"/>
    </row>
    <row r="723" spans="2:2" ht="15.75" customHeight="1" x14ac:dyDescent="0.45">
      <c r="B723" s="49"/>
    </row>
    <row r="724" spans="2:2" ht="15.75" customHeight="1" x14ac:dyDescent="0.45">
      <c r="B724" s="49"/>
    </row>
    <row r="725" spans="2:2" ht="15.75" customHeight="1" x14ac:dyDescent="0.45">
      <c r="B725" s="49"/>
    </row>
    <row r="726" spans="2:2" ht="15.75" customHeight="1" x14ac:dyDescent="0.45">
      <c r="B726" s="49"/>
    </row>
    <row r="727" spans="2:2" ht="15.75" customHeight="1" x14ac:dyDescent="0.45">
      <c r="B727" s="49"/>
    </row>
    <row r="728" spans="2:2" ht="15.75" customHeight="1" x14ac:dyDescent="0.45">
      <c r="B728" s="49"/>
    </row>
    <row r="729" spans="2:2" ht="15.75" customHeight="1" x14ac:dyDescent="0.45">
      <c r="B729" s="49"/>
    </row>
    <row r="730" spans="2:2" ht="15.75" customHeight="1" x14ac:dyDescent="0.45">
      <c r="B730" s="49"/>
    </row>
    <row r="731" spans="2:2" ht="15.75" customHeight="1" x14ac:dyDescent="0.45">
      <c r="B731" s="49"/>
    </row>
    <row r="732" spans="2:2" ht="15.75" customHeight="1" x14ac:dyDescent="0.45">
      <c r="B732" s="49"/>
    </row>
    <row r="733" spans="2:2" ht="15.75" customHeight="1" x14ac:dyDescent="0.45">
      <c r="B733" s="49"/>
    </row>
    <row r="734" spans="2:2" ht="15.75" customHeight="1" x14ac:dyDescent="0.45">
      <c r="B734" s="49"/>
    </row>
    <row r="735" spans="2:2" ht="15.75" customHeight="1" x14ac:dyDescent="0.45">
      <c r="B735" s="49"/>
    </row>
    <row r="736" spans="2:2" ht="15.75" customHeight="1" x14ac:dyDescent="0.45">
      <c r="B736" s="49"/>
    </row>
    <row r="737" spans="2:2" ht="15.75" customHeight="1" x14ac:dyDescent="0.45">
      <c r="B737" s="49"/>
    </row>
    <row r="738" spans="2:2" ht="15.75" customHeight="1" x14ac:dyDescent="0.45">
      <c r="B738" s="49"/>
    </row>
    <row r="739" spans="2:2" ht="15.75" customHeight="1" x14ac:dyDescent="0.45">
      <c r="B739" s="49"/>
    </row>
    <row r="740" spans="2:2" ht="15.75" customHeight="1" x14ac:dyDescent="0.45">
      <c r="B740" s="49"/>
    </row>
    <row r="741" spans="2:2" ht="15.75" customHeight="1" x14ac:dyDescent="0.45">
      <c r="B741" s="49"/>
    </row>
    <row r="742" spans="2:2" ht="15.75" customHeight="1" x14ac:dyDescent="0.45">
      <c r="B742" s="49"/>
    </row>
    <row r="743" spans="2:2" ht="15.75" customHeight="1" x14ac:dyDescent="0.45">
      <c r="B743" s="49"/>
    </row>
    <row r="744" spans="2:2" ht="15.75" customHeight="1" x14ac:dyDescent="0.45">
      <c r="B744" s="49"/>
    </row>
    <row r="745" spans="2:2" ht="15.75" customHeight="1" x14ac:dyDescent="0.45">
      <c r="B745" s="49"/>
    </row>
    <row r="746" spans="2:2" ht="15.75" customHeight="1" x14ac:dyDescent="0.45">
      <c r="B746" s="49"/>
    </row>
    <row r="747" spans="2:2" ht="15.75" customHeight="1" x14ac:dyDescent="0.45">
      <c r="B747" s="49"/>
    </row>
    <row r="748" spans="2:2" ht="15.75" customHeight="1" x14ac:dyDescent="0.45">
      <c r="B748" s="49"/>
    </row>
    <row r="749" spans="2:2" ht="15.75" customHeight="1" x14ac:dyDescent="0.45">
      <c r="B749" s="49"/>
    </row>
    <row r="750" spans="2:2" ht="15.75" customHeight="1" x14ac:dyDescent="0.45">
      <c r="B750" s="49"/>
    </row>
    <row r="751" spans="2:2" ht="15.75" customHeight="1" x14ac:dyDescent="0.45">
      <c r="B751" s="49"/>
    </row>
    <row r="752" spans="2:2" ht="15.75" customHeight="1" x14ac:dyDescent="0.45">
      <c r="B752" s="49"/>
    </row>
    <row r="753" spans="2:2" ht="15.75" customHeight="1" x14ac:dyDescent="0.45">
      <c r="B753" s="49"/>
    </row>
    <row r="754" spans="2:2" ht="15.75" customHeight="1" x14ac:dyDescent="0.45">
      <c r="B754" s="49"/>
    </row>
    <row r="755" spans="2:2" ht="15.75" customHeight="1" x14ac:dyDescent="0.45">
      <c r="B755" s="49"/>
    </row>
    <row r="756" spans="2:2" ht="15.75" customHeight="1" x14ac:dyDescent="0.45">
      <c r="B756" s="49"/>
    </row>
    <row r="757" spans="2:2" ht="15.75" customHeight="1" x14ac:dyDescent="0.45">
      <c r="B757" s="49"/>
    </row>
    <row r="758" spans="2:2" ht="15.75" customHeight="1" x14ac:dyDescent="0.45">
      <c r="B758" s="49"/>
    </row>
    <row r="759" spans="2:2" ht="15.75" customHeight="1" x14ac:dyDescent="0.45">
      <c r="B759" s="49"/>
    </row>
    <row r="760" spans="2:2" ht="15.75" customHeight="1" x14ac:dyDescent="0.45">
      <c r="B760" s="49"/>
    </row>
    <row r="761" spans="2:2" ht="15.75" customHeight="1" x14ac:dyDescent="0.45">
      <c r="B761" s="49"/>
    </row>
    <row r="762" spans="2:2" ht="15.75" customHeight="1" x14ac:dyDescent="0.45">
      <c r="B762" s="49"/>
    </row>
    <row r="763" spans="2:2" ht="15.75" customHeight="1" x14ac:dyDescent="0.45">
      <c r="B763" s="49"/>
    </row>
    <row r="764" spans="2:2" ht="15.75" customHeight="1" x14ac:dyDescent="0.45">
      <c r="B764" s="49"/>
    </row>
    <row r="765" spans="2:2" ht="15.75" customHeight="1" x14ac:dyDescent="0.45">
      <c r="B765" s="49"/>
    </row>
    <row r="766" spans="2:2" ht="15.75" customHeight="1" x14ac:dyDescent="0.45">
      <c r="B766" s="49"/>
    </row>
    <row r="767" spans="2:2" ht="15.75" customHeight="1" x14ac:dyDescent="0.45">
      <c r="B767" s="49"/>
    </row>
    <row r="768" spans="2:2" ht="15.75" customHeight="1" x14ac:dyDescent="0.45">
      <c r="B768" s="49"/>
    </row>
    <row r="769" spans="2:2" ht="15.75" customHeight="1" x14ac:dyDescent="0.45">
      <c r="B769" s="49"/>
    </row>
    <row r="770" spans="2:2" ht="15.75" customHeight="1" x14ac:dyDescent="0.45">
      <c r="B770" s="49"/>
    </row>
    <row r="771" spans="2:2" ht="15.75" customHeight="1" x14ac:dyDescent="0.45">
      <c r="B771" s="49"/>
    </row>
    <row r="772" spans="2:2" ht="15.75" customHeight="1" x14ac:dyDescent="0.45">
      <c r="B772" s="49"/>
    </row>
    <row r="773" spans="2:2" ht="15.75" customHeight="1" x14ac:dyDescent="0.45">
      <c r="B773" s="49"/>
    </row>
    <row r="774" spans="2:2" ht="15.75" customHeight="1" x14ac:dyDescent="0.45">
      <c r="B774" s="49"/>
    </row>
    <row r="775" spans="2:2" ht="15.75" customHeight="1" x14ac:dyDescent="0.45">
      <c r="B775" s="49"/>
    </row>
    <row r="776" spans="2:2" ht="15.75" customHeight="1" x14ac:dyDescent="0.45">
      <c r="B776" s="49"/>
    </row>
    <row r="777" spans="2:2" ht="15.75" customHeight="1" x14ac:dyDescent="0.45">
      <c r="B777" s="49"/>
    </row>
    <row r="778" spans="2:2" ht="15.75" customHeight="1" x14ac:dyDescent="0.45">
      <c r="B778" s="49"/>
    </row>
    <row r="779" spans="2:2" ht="15.75" customHeight="1" x14ac:dyDescent="0.45">
      <c r="B779" s="49"/>
    </row>
    <row r="780" spans="2:2" ht="15.75" customHeight="1" x14ac:dyDescent="0.45">
      <c r="B780" s="49"/>
    </row>
    <row r="781" spans="2:2" ht="15.75" customHeight="1" x14ac:dyDescent="0.45">
      <c r="B781" s="49"/>
    </row>
    <row r="782" spans="2:2" ht="15.75" customHeight="1" x14ac:dyDescent="0.45">
      <c r="B782" s="49"/>
    </row>
    <row r="783" spans="2:2" ht="15.75" customHeight="1" x14ac:dyDescent="0.45">
      <c r="B783" s="49"/>
    </row>
    <row r="784" spans="2:2" ht="15.75" customHeight="1" x14ac:dyDescent="0.45">
      <c r="B784" s="49"/>
    </row>
    <row r="785" spans="2:2" ht="15.75" customHeight="1" x14ac:dyDescent="0.45">
      <c r="B785" s="49"/>
    </row>
    <row r="786" spans="2:2" ht="15.75" customHeight="1" x14ac:dyDescent="0.45">
      <c r="B786" s="49"/>
    </row>
    <row r="787" spans="2:2" ht="15.75" customHeight="1" x14ac:dyDescent="0.45">
      <c r="B787" s="49"/>
    </row>
    <row r="788" spans="2:2" ht="15.75" customHeight="1" x14ac:dyDescent="0.45">
      <c r="B788" s="49"/>
    </row>
    <row r="789" spans="2:2" ht="15.75" customHeight="1" x14ac:dyDescent="0.45">
      <c r="B789" s="49"/>
    </row>
    <row r="790" spans="2:2" ht="15.75" customHeight="1" x14ac:dyDescent="0.45">
      <c r="B790" s="49"/>
    </row>
    <row r="791" spans="2:2" ht="15.75" customHeight="1" x14ac:dyDescent="0.45">
      <c r="B791" s="49"/>
    </row>
    <row r="792" spans="2:2" ht="15.75" customHeight="1" x14ac:dyDescent="0.45">
      <c r="B792" s="49"/>
    </row>
    <row r="793" spans="2:2" ht="15.75" customHeight="1" x14ac:dyDescent="0.45">
      <c r="B793" s="49"/>
    </row>
    <row r="794" spans="2:2" ht="15.75" customHeight="1" x14ac:dyDescent="0.45">
      <c r="B794" s="49"/>
    </row>
    <row r="795" spans="2:2" ht="15.75" customHeight="1" x14ac:dyDescent="0.45">
      <c r="B795" s="49"/>
    </row>
    <row r="796" spans="2:2" ht="15.75" customHeight="1" x14ac:dyDescent="0.45">
      <c r="B796" s="49"/>
    </row>
    <row r="797" spans="2:2" ht="15.75" customHeight="1" x14ac:dyDescent="0.45">
      <c r="B797" s="49"/>
    </row>
    <row r="798" spans="2:2" ht="15.75" customHeight="1" x14ac:dyDescent="0.45">
      <c r="B798" s="49"/>
    </row>
    <row r="799" spans="2:2" ht="15.75" customHeight="1" x14ac:dyDescent="0.45">
      <c r="B799" s="49"/>
    </row>
    <row r="800" spans="2:2" ht="15.75" customHeight="1" x14ac:dyDescent="0.45">
      <c r="B800" s="49"/>
    </row>
    <row r="801" spans="2:2" ht="15.75" customHeight="1" x14ac:dyDescent="0.45">
      <c r="B801" s="49"/>
    </row>
    <row r="802" spans="2:2" ht="15.75" customHeight="1" x14ac:dyDescent="0.45">
      <c r="B802" s="49"/>
    </row>
    <row r="803" spans="2:2" ht="15.75" customHeight="1" x14ac:dyDescent="0.45">
      <c r="B803" s="49"/>
    </row>
    <row r="804" spans="2:2" ht="15.75" customHeight="1" x14ac:dyDescent="0.45">
      <c r="B804" s="49"/>
    </row>
    <row r="805" spans="2:2" ht="15.75" customHeight="1" x14ac:dyDescent="0.45">
      <c r="B805" s="49"/>
    </row>
    <row r="806" spans="2:2" ht="15.75" customHeight="1" x14ac:dyDescent="0.45">
      <c r="B806" s="49"/>
    </row>
    <row r="807" spans="2:2" ht="15.75" customHeight="1" x14ac:dyDescent="0.45">
      <c r="B807" s="49"/>
    </row>
    <row r="808" spans="2:2" ht="15.75" customHeight="1" x14ac:dyDescent="0.45">
      <c r="B808" s="49"/>
    </row>
    <row r="809" spans="2:2" ht="15.75" customHeight="1" x14ac:dyDescent="0.45">
      <c r="B809" s="49"/>
    </row>
    <row r="810" spans="2:2" ht="15.75" customHeight="1" x14ac:dyDescent="0.45">
      <c r="B810" s="49"/>
    </row>
    <row r="811" spans="2:2" ht="15.75" customHeight="1" x14ac:dyDescent="0.45">
      <c r="B811" s="49"/>
    </row>
    <row r="812" spans="2:2" ht="15.75" customHeight="1" x14ac:dyDescent="0.45">
      <c r="B812" s="49"/>
    </row>
    <row r="813" spans="2:2" ht="15.75" customHeight="1" x14ac:dyDescent="0.45">
      <c r="B813" s="49"/>
    </row>
    <row r="814" spans="2:2" ht="15.75" customHeight="1" x14ac:dyDescent="0.45">
      <c r="B814" s="49"/>
    </row>
    <row r="815" spans="2:2" ht="15.75" customHeight="1" x14ac:dyDescent="0.45">
      <c r="B815" s="49"/>
    </row>
    <row r="816" spans="2:2" ht="15.75" customHeight="1" x14ac:dyDescent="0.45">
      <c r="B816" s="49"/>
    </row>
    <row r="817" spans="2:2" ht="15.75" customHeight="1" x14ac:dyDescent="0.45">
      <c r="B817" s="49"/>
    </row>
    <row r="818" spans="2:2" ht="15.75" customHeight="1" x14ac:dyDescent="0.45">
      <c r="B818" s="49"/>
    </row>
    <row r="819" spans="2:2" ht="15.75" customHeight="1" x14ac:dyDescent="0.45">
      <c r="B819" s="49"/>
    </row>
    <row r="820" spans="2:2" ht="15.75" customHeight="1" x14ac:dyDescent="0.45">
      <c r="B820" s="49"/>
    </row>
    <row r="821" spans="2:2" ht="15.75" customHeight="1" x14ac:dyDescent="0.45">
      <c r="B821" s="49"/>
    </row>
    <row r="822" spans="2:2" ht="15.75" customHeight="1" x14ac:dyDescent="0.45">
      <c r="B822" s="49"/>
    </row>
    <row r="823" spans="2:2" ht="15.75" customHeight="1" x14ac:dyDescent="0.45">
      <c r="B823" s="49"/>
    </row>
    <row r="824" spans="2:2" ht="15.75" customHeight="1" x14ac:dyDescent="0.45">
      <c r="B824" s="49"/>
    </row>
    <row r="825" spans="2:2" ht="15.75" customHeight="1" x14ac:dyDescent="0.45">
      <c r="B825" s="49"/>
    </row>
    <row r="826" spans="2:2" ht="15.75" customHeight="1" x14ac:dyDescent="0.45">
      <c r="B826" s="49"/>
    </row>
    <row r="827" spans="2:2" ht="15.75" customHeight="1" x14ac:dyDescent="0.45">
      <c r="B827" s="49"/>
    </row>
    <row r="828" spans="2:2" ht="15.75" customHeight="1" x14ac:dyDescent="0.45">
      <c r="B828" s="49"/>
    </row>
    <row r="829" spans="2:2" ht="15.75" customHeight="1" x14ac:dyDescent="0.45">
      <c r="B829" s="49"/>
    </row>
    <row r="830" spans="2:2" ht="15.75" customHeight="1" x14ac:dyDescent="0.45">
      <c r="B830" s="49"/>
    </row>
    <row r="831" spans="2:2" ht="15.75" customHeight="1" x14ac:dyDescent="0.45">
      <c r="B831" s="49"/>
    </row>
    <row r="832" spans="2:2" ht="15.75" customHeight="1" x14ac:dyDescent="0.45">
      <c r="B832" s="49"/>
    </row>
    <row r="833" spans="2:2" ht="15.75" customHeight="1" x14ac:dyDescent="0.45">
      <c r="B833" s="49"/>
    </row>
    <row r="834" spans="2:2" ht="15.75" customHeight="1" x14ac:dyDescent="0.45">
      <c r="B834" s="49"/>
    </row>
    <row r="835" spans="2:2" ht="15.75" customHeight="1" x14ac:dyDescent="0.45">
      <c r="B835" s="49"/>
    </row>
    <row r="836" spans="2:2" ht="15.75" customHeight="1" x14ac:dyDescent="0.45">
      <c r="B836" s="49"/>
    </row>
    <row r="837" spans="2:2" ht="15.75" customHeight="1" x14ac:dyDescent="0.45">
      <c r="B837" s="49"/>
    </row>
    <row r="838" spans="2:2" ht="15.75" customHeight="1" x14ac:dyDescent="0.45">
      <c r="B838" s="49"/>
    </row>
    <row r="839" spans="2:2" ht="15.75" customHeight="1" x14ac:dyDescent="0.45">
      <c r="B839" s="49"/>
    </row>
    <row r="840" spans="2:2" ht="15.75" customHeight="1" x14ac:dyDescent="0.45">
      <c r="B840" s="49"/>
    </row>
    <row r="841" spans="2:2" ht="15.75" customHeight="1" x14ac:dyDescent="0.45">
      <c r="B841" s="49"/>
    </row>
    <row r="842" spans="2:2" ht="15.75" customHeight="1" x14ac:dyDescent="0.45">
      <c r="B842" s="49"/>
    </row>
    <row r="843" spans="2:2" ht="15.75" customHeight="1" x14ac:dyDescent="0.45">
      <c r="B843" s="49"/>
    </row>
    <row r="844" spans="2:2" ht="15.75" customHeight="1" x14ac:dyDescent="0.45">
      <c r="B844" s="49"/>
    </row>
    <row r="845" spans="2:2" ht="15.75" customHeight="1" x14ac:dyDescent="0.45">
      <c r="B845" s="49"/>
    </row>
    <row r="846" spans="2:2" ht="15.75" customHeight="1" x14ac:dyDescent="0.45">
      <c r="B846" s="49"/>
    </row>
    <row r="847" spans="2:2" ht="15.75" customHeight="1" x14ac:dyDescent="0.45">
      <c r="B847" s="49"/>
    </row>
    <row r="848" spans="2:2" ht="15.75" customHeight="1" x14ac:dyDescent="0.45">
      <c r="B848" s="49"/>
    </row>
    <row r="849" spans="2:2" ht="15.75" customHeight="1" x14ac:dyDescent="0.45">
      <c r="B849" s="49"/>
    </row>
    <row r="850" spans="2:2" ht="15.75" customHeight="1" x14ac:dyDescent="0.45">
      <c r="B850" s="49"/>
    </row>
    <row r="851" spans="2:2" ht="15.75" customHeight="1" x14ac:dyDescent="0.45">
      <c r="B851" s="49"/>
    </row>
    <row r="852" spans="2:2" ht="15.75" customHeight="1" x14ac:dyDescent="0.45">
      <c r="B852" s="49"/>
    </row>
    <row r="853" spans="2:2" ht="15.75" customHeight="1" x14ac:dyDescent="0.45">
      <c r="B853" s="49"/>
    </row>
    <row r="854" spans="2:2" ht="15.75" customHeight="1" x14ac:dyDescent="0.45">
      <c r="B854" s="49"/>
    </row>
    <row r="855" spans="2:2" ht="15.75" customHeight="1" x14ac:dyDescent="0.45">
      <c r="B855" s="49"/>
    </row>
    <row r="856" spans="2:2" ht="15.75" customHeight="1" x14ac:dyDescent="0.45">
      <c r="B856" s="49"/>
    </row>
    <row r="857" spans="2:2" ht="15.75" customHeight="1" x14ac:dyDescent="0.45">
      <c r="B857" s="49"/>
    </row>
    <row r="858" spans="2:2" ht="15.75" customHeight="1" x14ac:dyDescent="0.45">
      <c r="B858" s="49"/>
    </row>
    <row r="859" spans="2:2" ht="15.75" customHeight="1" x14ac:dyDescent="0.45">
      <c r="B859" s="49"/>
    </row>
    <row r="860" spans="2:2" ht="15.75" customHeight="1" x14ac:dyDescent="0.45">
      <c r="B860" s="49"/>
    </row>
    <row r="861" spans="2:2" ht="15.75" customHeight="1" x14ac:dyDescent="0.45">
      <c r="B861" s="49"/>
    </row>
    <row r="862" spans="2:2" ht="15.75" customHeight="1" x14ac:dyDescent="0.45">
      <c r="B862" s="49"/>
    </row>
    <row r="863" spans="2:2" ht="15.75" customHeight="1" x14ac:dyDescent="0.45">
      <c r="B863" s="49"/>
    </row>
    <row r="864" spans="2:2" ht="15.75" customHeight="1" x14ac:dyDescent="0.45">
      <c r="B864" s="49"/>
    </row>
    <row r="865" spans="2:2" ht="15.75" customHeight="1" x14ac:dyDescent="0.45">
      <c r="B865" s="49"/>
    </row>
    <row r="866" spans="2:2" ht="15.75" customHeight="1" x14ac:dyDescent="0.45">
      <c r="B866" s="49"/>
    </row>
    <row r="867" spans="2:2" ht="15.75" customHeight="1" x14ac:dyDescent="0.45">
      <c r="B867" s="49"/>
    </row>
    <row r="868" spans="2:2" ht="15.75" customHeight="1" x14ac:dyDescent="0.45">
      <c r="B868" s="49"/>
    </row>
    <row r="869" spans="2:2" ht="15.75" customHeight="1" x14ac:dyDescent="0.45">
      <c r="B869" s="49"/>
    </row>
    <row r="870" spans="2:2" ht="15.75" customHeight="1" x14ac:dyDescent="0.45">
      <c r="B870" s="49"/>
    </row>
    <row r="871" spans="2:2" ht="15.75" customHeight="1" x14ac:dyDescent="0.45">
      <c r="B871" s="49"/>
    </row>
    <row r="872" spans="2:2" ht="15.75" customHeight="1" x14ac:dyDescent="0.45">
      <c r="B872" s="49"/>
    </row>
    <row r="873" spans="2:2" ht="15.75" customHeight="1" x14ac:dyDescent="0.45">
      <c r="B873" s="49"/>
    </row>
    <row r="874" spans="2:2" ht="15.75" customHeight="1" x14ac:dyDescent="0.45">
      <c r="B874" s="49"/>
    </row>
    <row r="875" spans="2:2" ht="15.75" customHeight="1" x14ac:dyDescent="0.45">
      <c r="B875" s="49"/>
    </row>
    <row r="876" spans="2:2" ht="15.75" customHeight="1" x14ac:dyDescent="0.45">
      <c r="B876" s="49"/>
    </row>
    <row r="877" spans="2:2" ht="15.75" customHeight="1" x14ac:dyDescent="0.45">
      <c r="B877" s="49"/>
    </row>
    <row r="878" spans="2:2" ht="15.75" customHeight="1" x14ac:dyDescent="0.45">
      <c r="B878" s="49"/>
    </row>
    <row r="879" spans="2:2" ht="15.75" customHeight="1" x14ac:dyDescent="0.45">
      <c r="B879" s="49"/>
    </row>
    <row r="880" spans="2:2" ht="15.75" customHeight="1" x14ac:dyDescent="0.45">
      <c r="B880" s="49"/>
    </row>
    <row r="881" spans="2:2" ht="15.75" customHeight="1" x14ac:dyDescent="0.45">
      <c r="B881" s="49"/>
    </row>
    <row r="882" spans="2:2" ht="15.75" customHeight="1" x14ac:dyDescent="0.45">
      <c r="B882" s="49"/>
    </row>
    <row r="883" spans="2:2" ht="15.75" customHeight="1" x14ac:dyDescent="0.45">
      <c r="B883" s="49"/>
    </row>
    <row r="884" spans="2:2" ht="15.75" customHeight="1" x14ac:dyDescent="0.45">
      <c r="B884" s="49"/>
    </row>
    <row r="885" spans="2:2" ht="15.75" customHeight="1" x14ac:dyDescent="0.45">
      <c r="B885" s="49"/>
    </row>
    <row r="886" spans="2:2" ht="15.75" customHeight="1" x14ac:dyDescent="0.45">
      <c r="B886" s="49"/>
    </row>
    <row r="887" spans="2:2" ht="15.75" customHeight="1" x14ac:dyDescent="0.45">
      <c r="B887" s="49"/>
    </row>
    <row r="888" spans="2:2" ht="15.75" customHeight="1" x14ac:dyDescent="0.45">
      <c r="B888" s="49"/>
    </row>
    <row r="889" spans="2:2" ht="15.75" customHeight="1" x14ac:dyDescent="0.45">
      <c r="B889" s="49"/>
    </row>
    <row r="890" spans="2:2" ht="15.75" customHeight="1" x14ac:dyDescent="0.45">
      <c r="B890" s="49"/>
    </row>
    <row r="891" spans="2:2" ht="15.75" customHeight="1" x14ac:dyDescent="0.45">
      <c r="B891" s="49"/>
    </row>
    <row r="892" spans="2:2" ht="15.75" customHeight="1" x14ac:dyDescent="0.45">
      <c r="B892" s="49"/>
    </row>
    <row r="893" spans="2:2" ht="15.75" customHeight="1" x14ac:dyDescent="0.45">
      <c r="B893" s="49"/>
    </row>
    <row r="894" spans="2:2" ht="15.75" customHeight="1" x14ac:dyDescent="0.45">
      <c r="B894" s="49"/>
    </row>
    <row r="895" spans="2:2" ht="15.75" customHeight="1" x14ac:dyDescent="0.45">
      <c r="B895" s="49"/>
    </row>
    <row r="896" spans="2:2" ht="15.75" customHeight="1" x14ac:dyDescent="0.45">
      <c r="B896" s="49"/>
    </row>
    <row r="897" spans="2:2" ht="15.75" customHeight="1" x14ac:dyDescent="0.45">
      <c r="B897" s="49"/>
    </row>
    <row r="898" spans="2:2" ht="15.75" customHeight="1" x14ac:dyDescent="0.45">
      <c r="B898" s="49"/>
    </row>
    <row r="899" spans="2:2" ht="15.75" customHeight="1" x14ac:dyDescent="0.45">
      <c r="B899" s="49"/>
    </row>
    <row r="900" spans="2:2" ht="15.75" customHeight="1" x14ac:dyDescent="0.45">
      <c r="B900" s="49"/>
    </row>
    <row r="901" spans="2:2" ht="15.75" customHeight="1" x14ac:dyDescent="0.45">
      <c r="B901" s="49"/>
    </row>
    <row r="902" spans="2:2" ht="15.75" customHeight="1" x14ac:dyDescent="0.45">
      <c r="B902" s="49"/>
    </row>
    <row r="903" spans="2:2" ht="15.75" customHeight="1" x14ac:dyDescent="0.45">
      <c r="B903" s="49"/>
    </row>
    <row r="904" spans="2:2" ht="15.75" customHeight="1" x14ac:dyDescent="0.45">
      <c r="B904" s="49"/>
    </row>
    <row r="905" spans="2:2" ht="15.75" customHeight="1" x14ac:dyDescent="0.45">
      <c r="B905" s="49"/>
    </row>
    <row r="906" spans="2:2" ht="15.75" customHeight="1" x14ac:dyDescent="0.45">
      <c r="B906" s="49"/>
    </row>
    <row r="907" spans="2:2" ht="15.75" customHeight="1" x14ac:dyDescent="0.45">
      <c r="B907" s="49"/>
    </row>
    <row r="908" spans="2:2" ht="15.75" customHeight="1" x14ac:dyDescent="0.45">
      <c r="B908" s="49"/>
    </row>
    <row r="909" spans="2:2" ht="15.75" customHeight="1" x14ac:dyDescent="0.45">
      <c r="B909" s="49"/>
    </row>
    <row r="910" spans="2:2" ht="15.75" customHeight="1" x14ac:dyDescent="0.45">
      <c r="B910" s="49"/>
    </row>
    <row r="911" spans="2:2" ht="15.75" customHeight="1" x14ac:dyDescent="0.45">
      <c r="B911" s="49"/>
    </row>
    <row r="912" spans="2:2" ht="15.75" customHeight="1" x14ac:dyDescent="0.45">
      <c r="B912" s="49"/>
    </row>
    <row r="913" spans="2:2" ht="15.75" customHeight="1" x14ac:dyDescent="0.45">
      <c r="B913" s="49"/>
    </row>
    <row r="914" spans="2:2" ht="15.75" customHeight="1" x14ac:dyDescent="0.45">
      <c r="B914" s="49"/>
    </row>
    <row r="915" spans="2:2" ht="15.75" customHeight="1" x14ac:dyDescent="0.45">
      <c r="B915" s="49"/>
    </row>
    <row r="916" spans="2:2" ht="15.75" customHeight="1" x14ac:dyDescent="0.45">
      <c r="B916" s="49"/>
    </row>
    <row r="917" spans="2:2" ht="15.75" customHeight="1" x14ac:dyDescent="0.45">
      <c r="B917" s="49"/>
    </row>
    <row r="918" spans="2:2" ht="15.75" customHeight="1" x14ac:dyDescent="0.45">
      <c r="B918" s="49"/>
    </row>
    <row r="919" spans="2:2" ht="15.75" customHeight="1" x14ac:dyDescent="0.45">
      <c r="B919" s="49"/>
    </row>
    <row r="920" spans="2:2" ht="15.75" customHeight="1" x14ac:dyDescent="0.45">
      <c r="B920" s="49"/>
    </row>
    <row r="921" spans="2:2" ht="15.75" customHeight="1" x14ac:dyDescent="0.45">
      <c r="B921" s="49"/>
    </row>
    <row r="922" spans="2:2" ht="15.75" customHeight="1" x14ac:dyDescent="0.45">
      <c r="B922" s="49"/>
    </row>
    <row r="923" spans="2:2" ht="15.75" customHeight="1" x14ac:dyDescent="0.45">
      <c r="B923" s="49"/>
    </row>
    <row r="924" spans="2:2" ht="15.75" customHeight="1" x14ac:dyDescent="0.45">
      <c r="B924" s="49"/>
    </row>
    <row r="925" spans="2:2" ht="15.75" customHeight="1" x14ac:dyDescent="0.45">
      <c r="B925" s="49"/>
    </row>
    <row r="926" spans="2:2" ht="15.75" customHeight="1" x14ac:dyDescent="0.45">
      <c r="B926" s="49"/>
    </row>
    <row r="927" spans="2:2" ht="15.75" customHeight="1" x14ac:dyDescent="0.45">
      <c r="B927" s="49"/>
    </row>
    <row r="928" spans="2:2" ht="15.75" customHeight="1" x14ac:dyDescent="0.45">
      <c r="B928" s="49"/>
    </row>
    <row r="929" spans="2:2" ht="15.75" customHeight="1" x14ac:dyDescent="0.45">
      <c r="B929" s="49"/>
    </row>
    <row r="930" spans="2:2" ht="15.75" customHeight="1" x14ac:dyDescent="0.45">
      <c r="B930" s="49"/>
    </row>
    <row r="931" spans="2:2" ht="15.75" customHeight="1" x14ac:dyDescent="0.45">
      <c r="B931" s="49"/>
    </row>
    <row r="932" spans="2:2" ht="15.75" customHeight="1" x14ac:dyDescent="0.45">
      <c r="B932" s="49"/>
    </row>
    <row r="933" spans="2:2" ht="15.75" customHeight="1" x14ac:dyDescent="0.45">
      <c r="B933" s="49"/>
    </row>
    <row r="934" spans="2:2" ht="15.75" customHeight="1" x14ac:dyDescent="0.45">
      <c r="B934" s="49"/>
    </row>
    <row r="935" spans="2:2" ht="15.75" customHeight="1" x14ac:dyDescent="0.45">
      <c r="B935" s="49"/>
    </row>
    <row r="936" spans="2:2" ht="15.75" customHeight="1" x14ac:dyDescent="0.45">
      <c r="B936" s="49"/>
    </row>
    <row r="937" spans="2:2" ht="15.75" customHeight="1" x14ac:dyDescent="0.45">
      <c r="B937" s="49"/>
    </row>
    <row r="938" spans="2:2" ht="15.75" customHeight="1" x14ac:dyDescent="0.45">
      <c r="B938" s="49"/>
    </row>
    <row r="939" spans="2:2" ht="15.75" customHeight="1" x14ac:dyDescent="0.45">
      <c r="B939" s="49"/>
    </row>
    <row r="940" spans="2:2" ht="15.75" customHeight="1" x14ac:dyDescent="0.45">
      <c r="B940" s="49"/>
    </row>
    <row r="941" spans="2:2" ht="15.75" customHeight="1" x14ac:dyDescent="0.45">
      <c r="B941" s="49"/>
    </row>
    <row r="942" spans="2:2" ht="15.75" customHeight="1" x14ac:dyDescent="0.45">
      <c r="B942" s="49"/>
    </row>
    <row r="943" spans="2:2" ht="15.75" customHeight="1" x14ac:dyDescent="0.45">
      <c r="B943" s="49"/>
    </row>
    <row r="944" spans="2:2" ht="15.75" customHeight="1" x14ac:dyDescent="0.45">
      <c r="B944" s="49"/>
    </row>
    <row r="945" spans="2:2" ht="15.75" customHeight="1" x14ac:dyDescent="0.45">
      <c r="B945" s="49"/>
    </row>
    <row r="946" spans="2:2" ht="15.75" customHeight="1" x14ac:dyDescent="0.45">
      <c r="B946" s="49"/>
    </row>
    <row r="947" spans="2:2" ht="15.75" customHeight="1" x14ac:dyDescent="0.45">
      <c r="B947" s="49"/>
    </row>
    <row r="948" spans="2:2" ht="15.75" customHeight="1" x14ac:dyDescent="0.45">
      <c r="B948" s="49"/>
    </row>
    <row r="949" spans="2:2" ht="15.75" customHeight="1" x14ac:dyDescent="0.45">
      <c r="B949" s="49"/>
    </row>
    <row r="950" spans="2:2" ht="15.75" customHeight="1" x14ac:dyDescent="0.45">
      <c r="B950" s="49"/>
    </row>
    <row r="951" spans="2:2" ht="15.75" customHeight="1" x14ac:dyDescent="0.45">
      <c r="B951" s="49"/>
    </row>
    <row r="952" spans="2:2" ht="15.75" customHeight="1" x14ac:dyDescent="0.45">
      <c r="B952" s="49"/>
    </row>
    <row r="953" spans="2:2" ht="15.75" customHeight="1" x14ac:dyDescent="0.45">
      <c r="B953" s="49"/>
    </row>
    <row r="954" spans="2:2" ht="15.75" customHeight="1" x14ac:dyDescent="0.45">
      <c r="B954" s="49"/>
    </row>
    <row r="955" spans="2:2" ht="15.75" customHeight="1" x14ac:dyDescent="0.45">
      <c r="B955" s="49"/>
    </row>
    <row r="956" spans="2:2" ht="15.75" customHeight="1" x14ac:dyDescent="0.45">
      <c r="B956" s="49"/>
    </row>
    <row r="957" spans="2:2" ht="15.75" customHeight="1" x14ac:dyDescent="0.45">
      <c r="B957" s="49"/>
    </row>
    <row r="958" spans="2:2" ht="15.75" customHeight="1" x14ac:dyDescent="0.45">
      <c r="B958" s="49"/>
    </row>
    <row r="959" spans="2:2" ht="15.75" customHeight="1" x14ac:dyDescent="0.45">
      <c r="B959" s="49"/>
    </row>
    <row r="960" spans="2:2" ht="15.75" customHeight="1" x14ac:dyDescent="0.45">
      <c r="B960" s="49"/>
    </row>
    <row r="961" spans="2:2" ht="15.75" customHeight="1" x14ac:dyDescent="0.45">
      <c r="B961" s="49"/>
    </row>
    <row r="962" spans="2:2" ht="15.75" customHeight="1" x14ac:dyDescent="0.45">
      <c r="B962" s="49"/>
    </row>
    <row r="963" spans="2:2" ht="15.75" customHeight="1" x14ac:dyDescent="0.45">
      <c r="B963" s="49"/>
    </row>
    <row r="964" spans="2:2" ht="15.75" customHeight="1" x14ac:dyDescent="0.45">
      <c r="B964" s="49"/>
    </row>
    <row r="965" spans="2:2" ht="15.75" customHeight="1" x14ac:dyDescent="0.45">
      <c r="B965" s="49"/>
    </row>
    <row r="966" spans="2:2" ht="15.75" customHeight="1" x14ac:dyDescent="0.45">
      <c r="B966" s="49"/>
    </row>
    <row r="967" spans="2:2" ht="15.75" customHeight="1" x14ac:dyDescent="0.45">
      <c r="B967" s="49"/>
    </row>
    <row r="968" spans="2:2" ht="15.75" customHeight="1" x14ac:dyDescent="0.45">
      <c r="B968" s="49"/>
    </row>
    <row r="969" spans="2:2" ht="15.75" customHeight="1" x14ac:dyDescent="0.45">
      <c r="B969" s="49"/>
    </row>
    <row r="970" spans="2:2" ht="15.75" customHeight="1" x14ac:dyDescent="0.45">
      <c r="B970" s="49"/>
    </row>
    <row r="971" spans="2:2" ht="15.75" customHeight="1" x14ac:dyDescent="0.45">
      <c r="B971" s="49"/>
    </row>
    <row r="972" spans="2:2" ht="15.75" customHeight="1" x14ac:dyDescent="0.45">
      <c r="B972" s="49"/>
    </row>
    <row r="973" spans="2:2" ht="15.75" customHeight="1" x14ac:dyDescent="0.45">
      <c r="B973" s="49"/>
    </row>
    <row r="974" spans="2:2" ht="15.75" customHeight="1" x14ac:dyDescent="0.45">
      <c r="B974" s="49"/>
    </row>
    <row r="975" spans="2:2" ht="15.75" customHeight="1" x14ac:dyDescent="0.45">
      <c r="B975" s="49"/>
    </row>
    <row r="976" spans="2:2" ht="15.75" customHeight="1" x14ac:dyDescent="0.45">
      <c r="B976" s="49"/>
    </row>
    <row r="977" spans="2:2" ht="15.75" customHeight="1" x14ac:dyDescent="0.45">
      <c r="B977" s="49"/>
    </row>
    <row r="978" spans="2:2" ht="15.75" customHeight="1" x14ac:dyDescent="0.45">
      <c r="B978" s="49"/>
    </row>
    <row r="979" spans="2:2" ht="15.75" customHeight="1" x14ac:dyDescent="0.45">
      <c r="B979" s="49"/>
    </row>
    <row r="980" spans="2:2" ht="15.75" customHeight="1" x14ac:dyDescent="0.45">
      <c r="B980" s="49"/>
    </row>
    <row r="981" spans="2:2" ht="15.75" customHeight="1" x14ac:dyDescent="0.45">
      <c r="B981" s="49"/>
    </row>
    <row r="982" spans="2:2" ht="15.75" customHeight="1" x14ac:dyDescent="0.45">
      <c r="B982" s="49"/>
    </row>
    <row r="983" spans="2:2" ht="15.75" customHeight="1" x14ac:dyDescent="0.45">
      <c r="B983" s="49"/>
    </row>
    <row r="984" spans="2:2" ht="15.75" customHeight="1" x14ac:dyDescent="0.45">
      <c r="B984" s="49"/>
    </row>
    <row r="985" spans="2:2" ht="15.75" customHeight="1" x14ac:dyDescent="0.45">
      <c r="B985" s="49"/>
    </row>
    <row r="986" spans="2:2" ht="15.75" customHeight="1" x14ac:dyDescent="0.45">
      <c r="B986" s="49"/>
    </row>
    <row r="987" spans="2:2" ht="15.75" customHeight="1" x14ac:dyDescent="0.45">
      <c r="B987" s="49"/>
    </row>
    <row r="988" spans="2:2" ht="15.75" customHeight="1" x14ac:dyDescent="0.45">
      <c r="B988" s="49"/>
    </row>
    <row r="989" spans="2:2" ht="15.75" customHeight="1" x14ac:dyDescent="0.45">
      <c r="B989" s="49"/>
    </row>
    <row r="990" spans="2:2" ht="15.75" customHeight="1" x14ac:dyDescent="0.45">
      <c r="B990" s="49"/>
    </row>
    <row r="991" spans="2:2" ht="15.75" customHeight="1" x14ac:dyDescent="0.45">
      <c r="B991" s="49"/>
    </row>
    <row r="992" spans="2:2" ht="15.75" customHeight="1" x14ac:dyDescent="0.45">
      <c r="B992" s="49"/>
    </row>
    <row r="993" spans="2:2" ht="15.75" customHeight="1" x14ac:dyDescent="0.45">
      <c r="B993" s="49"/>
    </row>
    <row r="994" spans="2:2" ht="15.75" customHeight="1" x14ac:dyDescent="0.45">
      <c r="B994" s="49"/>
    </row>
    <row r="995" spans="2:2" ht="15.75" customHeight="1" x14ac:dyDescent="0.45">
      <c r="B995" s="49"/>
    </row>
    <row r="996" spans="2:2" ht="15.75" customHeight="1" x14ac:dyDescent="0.45">
      <c r="B996" s="49"/>
    </row>
    <row r="997" spans="2:2" ht="15.75" customHeight="1" x14ac:dyDescent="0.45">
      <c r="B997" s="49"/>
    </row>
    <row r="998" spans="2:2" ht="15.75" customHeight="1" x14ac:dyDescent="0.45">
      <c r="B998" s="49"/>
    </row>
    <row r="999" spans="2:2" ht="15.75" customHeight="1" x14ac:dyDescent="0.45">
      <c r="B999" s="49"/>
    </row>
    <row r="1000" spans="2:2" ht="15.75" customHeight="1" x14ac:dyDescent="0.45">
      <c r="B1000" s="49"/>
    </row>
    <row r="1001" spans="2:2" ht="15.75" customHeight="1" x14ac:dyDescent="0.45">
      <c r="B1001" s="49"/>
    </row>
  </sheetData>
  <mergeCells count="4">
    <mergeCell ref="B18:R18"/>
    <mergeCell ref="A22:Q22"/>
    <mergeCell ref="A24:M24"/>
    <mergeCell ref="A20:F20"/>
  </mergeCells>
  <hyperlinks>
    <hyperlink ref="B18" r:id="rId1" xr:uid="{00000000-0004-0000-0300-000000000000}"/>
    <hyperlink ref="A22" r:id="rId2" xr:uid="{00000000-0004-0000-0300-000001000000}"/>
    <hyperlink ref="A24" r:id="rId3" xr:uid="{00000000-0004-0000-0300-00000200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2"/>
  <sheetViews>
    <sheetView workbookViewId="0"/>
  </sheetViews>
  <sheetFormatPr defaultColWidth="14.3984375" defaultRowHeight="15" customHeight="1" x14ac:dyDescent="0.45"/>
  <cols>
    <col min="1" max="1" width="22.86328125" customWidth="1"/>
    <col min="2" max="16" width="8.73046875" customWidth="1"/>
    <col min="17" max="17" width="8.265625" customWidth="1"/>
    <col min="18" max="26" width="8.73046875" customWidth="1"/>
  </cols>
  <sheetData>
    <row r="1" spans="1:26" ht="28.5" x14ac:dyDescent="0.45">
      <c r="A1" s="50" t="s">
        <v>96</v>
      </c>
      <c r="B1" s="51">
        <v>44879</v>
      </c>
      <c r="C1" s="52">
        <v>44880</v>
      </c>
      <c r="D1" s="52">
        <v>44881</v>
      </c>
      <c r="E1" s="52">
        <v>44882</v>
      </c>
      <c r="F1" s="52">
        <v>44883</v>
      </c>
      <c r="G1" s="4" t="s">
        <v>97</v>
      </c>
      <c r="H1" s="5">
        <v>44886</v>
      </c>
      <c r="I1" s="53" t="s">
        <v>98</v>
      </c>
      <c r="J1" s="5">
        <v>44887</v>
      </c>
      <c r="K1" s="4" t="s">
        <v>99</v>
      </c>
      <c r="L1" s="5">
        <v>44888</v>
      </c>
      <c r="M1" s="5">
        <v>44889</v>
      </c>
      <c r="N1" s="5">
        <v>44893</v>
      </c>
      <c r="O1" s="4" t="s">
        <v>100</v>
      </c>
      <c r="P1" s="5">
        <v>44894</v>
      </c>
      <c r="Q1" s="4" t="s">
        <v>101</v>
      </c>
      <c r="R1" s="4" t="s">
        <v>102</v>
      </c>
      <c r="S1" s="7">
        <v>44896</v>
      </c>
      <c r="T1" s="7">
        <v>44897</v>
      </c>
      <c r="U1" s="4" t="s">
        <v>103</v>
      </c>
      <c r="V1" s="7">
        <v>44900</v>
      </c>
      <c r="W1" s="7">
        <v>44901</v>
      </c>
      <c r="X1" s="4" t="s">
        <v>104</v>
      </c>
    </row>
    <row r="2" spans="1:26" ht="14.25" x14ac:dyDescent="0.45">
      <c r="A2" s="54" t="s">
        <v>105</v>
      </c>
      <c r="B2" s="55">
        <v>40053</v>
      </c>
      <c r="C2" s="56">
        <v>44569</v>
      </c>
      <c r="D2" s="56">
        <v>46310</v>
      </c>
      <c r="E2" s="57">
        <v>49031</v>
      </c>
      <c r="F2" s="57">
        <v>53000</v>
      </c>
      <c r="G2" s="57">
        <v>57390</v>
      </c>
      <c r="H2" s="57">
        <v>61770</v>
      </c>
      <c r="I2" s="57">
        <v>61770</v>
      </c>
      <c r="J2" s="57">
        <v>61770</v>
      </c>
      <c r="K2" s="57">
        <v>62049</v>
      </c>
      <c r="L2" s="57">
        <v>62049</v>
      </c>
      <c r="M2" s="57">
        <v>62049</v>
      </c>
      <c r="N2" s="57">
        <v>62049</v>
      </c>
      <c r="O2" s="57">
        <v>62049</v>
      </c>
      <c r="P2" s="57">
        <v>62049</v>
      </c>
      <c r="Q2" s="57">
        <v>62134</v>
      </c>
      <c r="R2" s="57">
        <v>62134</v>
      </c>
      <c r="S2" s="57">
        <v>62134</v>
      </c>
      <c r="T2" s="57">
        <v>62134</v>
      </c>
      <c r="U2" s="57">
        <v>62214</v>
      </c>
      <c r="V2" s="57">
        <v>62214</v>
      </c>
      <c r="W2" s="57">
        <v>62244</v>
      </c>
      <c r="X2" s="57">
        <v>62244</v>
      </c>
      <c r="Y2" s="58"/>
      <c r="Z2" s="58"/>
    </row>
    <row r="3" spans="1:26" ht="14.25" x14ac:dyDescent="0.45">
      <c r="A3" s="59" t="s">
        <v>106</v>
      </c>
      <c r="B3" s="60">
        <v>35512</v>
      </c>
      <c r="C3" s="61">
        <v>40440</v>
      </c>
      <c r="D3" s="61">
        <v>42270</v>
      </c>
      <c r="E3" s="62">
        <v>45674</v>
      </c>
      <c r="F3" s="62">
        <v>49690</v>
      </c>
      <c r="G3" s="62">
        <v>54021</v>
      </c>
      <c r="H3" s="62">
        <v>58698</v>
      </c>
      <c r="I3" s="62">
        <v>58698</v>
      </c>
      <c r="J3" s="62">
        <v>58698</v>
      </c>
      <c r="K3" s="62">
        <v>59025</v>
      </c>
      <c r="L3" s="62">
        <v>59025</v>
      </c>
      <c r="M3" s="62">
        <v>59025</v>
      </c>
      <c r="N3" s="62">
        <v>59025</v>
      </c>
      <c r="O3" s="62">
        <v>59025</v>
      </c>
      <c r="P3" s="62">
        <v>59025</v>
      </c>
      <c r="Q3" s="62">
        <v>59098</v>
      </c>
      <c r="R3" s="62">
        <v>59098</v>
      </c>
      <c r="S3" s="62">
        <v>59098</v>
      </c>
      <c r="T3" s="62">
        <v>59098</v>
      </c>
      <c r="U3" s="62">
        <v>59190</v>
      </c>
      <c r="V3" s="62">
        <v>59190</v>
      </c>
      <c r="W3" s="62">
        <v>59223</v>
      </c>
      <c r="X3" s="62">
        <v>59223</v>
      </c>
      <c r="Y3" s="63"/>
      <c r="Z3" s="63"/>
    </row>
    <row r="4" spans="1:26" ht="14.25" x14ac:dyDescent="0.45">
      <c r="A4" s="20" t="s">
        <v>11</v>
      </c>
      <c r="B4" s="21">
        <f t="shared" ref="B4:X4" si="0">B2-B3</f>
        <v>4541</v>
      </c>
      <c r="C4" s="21">
        <f t="shared" si="0"/>
        <v>4129</v>
      </c>
      <c r="D4" s="21">
        <f t="shared" si="0"/>
        <v>4040</v>
      </c>
      <c r="E4" s="21">
        <f t="shared" si="0"/>
        <v>3357</v>
      </c>
      <c r="F4" s="21">
        <f t="shared" si="0"/>
        <v>3310</v>
      </c>
      <c r="G4" s="21">
        <f t="shared" si="0"/>
        <v>3369</v>
      </c>
      <c r="H4" s="21">
        <f t="shared" si="0"/>
        <v>3072</v>
      </c>
      <c r="I4" s="21">
        <f t="shared" si="0"/>
        <v>3072</v>
      </c>
      <c r="J4" s="21">
        <f t="shared" si="0"/>
        <v>3072</v>
      </c>
      <c r="K4" s="21">
        <f t="shared" si="0"/>
        <v>3024</v>
      </c>
      <c r="L4" s="21">
        <f t="shared" si="0"/>
        <v>3024</v>
      </c>
      <c r="M4" s="21">
        <f t="shared" si="0"/>
        <v>3024</v>
      </c>
      <c r="N4" s="21">
        <f t="shared" si="0"/>
        <v>3024</v>
      </c>
      <c r="O4" s="21">
        <f t="shared" si="0"/>
        <v>3024</v>
      </c>
      <c r="P4" s="21">
        <f t="shared" si="0"/>
        <v>3024</v>
      </c>
      <c r="Q4" s="21">
        <f t="shared" si="0"/>
        <v>3036</v>
      </c>
      <c r="R4" s="21">
        <f t="shared" si="0"/>
        <v>3036</v>
      </c>
      <c r="S4" s="21">
        <f t="shared" si="0"/>
        <v>3036</v>
      </c>
      <c r="T4" s="21">
        <f t="shared" si="0"/>
        <v>3036</v>
      </c>
      <c r="U4" s="21">
        <f t="shared" si="0"/>
        <v>3024</v>
      </c>
      <c r="V4" s="21">
        <f t="shared" si="0"/>
        <v>3024</v>
      </c>
      <c r="W4" s="21">
        <f t="shared" si="0"/>
        <v>3021</v>
      </c>
      <c r="X4" s="21">
        <f t="shared" si="0"/>
        <v>3021</v>
      </c>
    </row>
    <row r="5" spans="1:26" ht="14.25" x14ac:dyDescent="0.45">
      <c r="A5" s="20" t="s">
        <v>12</v>
      </c>
      <c r="B5" s="23">
        <f t="shared" ref="B5:X5" si="1">B4/SUM(B2:B3)</f>
        <v>6.0093958843379869E-2</v>
      </c>
      <c r="C5" s="23">
        <f t="shared" si="1"/>
        <v>4.8571327741768519E-2</v>
      </c>
      <c r="D5" s="23">
        <f t="shared" si="1"/>
        <v>4.5608489501016029E-2</v>
      </c>
      <c r="E5" s="23">
        <f t="shared" si="1"/>
        <v>3.5446914101684178E-2</v>
      </c>
      <c r="F5" s="23">
        <f t="shared" si="1"/>
        <v>3.2232934073424868E-2</v>
      </c>
      <c r="G5" s="23">
        <f t="shared" si="1"/>
        <v>3.023938390284622E-2</v>
      </c>
      <c r="H5" s="23">
        <f t="shared" si="1"/>
        <v>2.5500547863333001E-2</v>
      </c>
      <c r="I5" s="23">
        <f t="shared" si="1"/>
        <v>2.5500547863333001E-2</v>
      </c>
      <c r="J5" s="23">
        <f t="shared" si="1"/>
        <v>2.5500547863333001E-2</v>
      </c>
      <c r="K5" s="23">
        <f t="shared" si="1"/>
        <v>2.4976460676941373E-2</v>
      </c>
      <c r="L5" s="23">
        <f t="shared" si="1"/>
        <v>2.4976460676941373E-2</v>
      </c>
      <c r="M5" s="23">
        <f t="shared" si="1"/>
        <v>2.4976460676941373E-2</v>
      </c>
      <c r="N5" s="23">
        <f t="shared" si="1"/>
        <v>2.4976460676941373E-2</v>
      </c>
      <c r="O5" s="23">
        <f t="shared" si="1"/>
        <v>2.4976460676941373E-2</v>
      </c>
      <c r="P5" s="23">
        <f t="shared" si="1"/>
        <v>2.4976460676941373E-2</v>
      </c>
      <c r="Q5" s="23">
        <f t="shared" si="1"/>
        <v>2.5042892965553648E-2</v>
      </c>
      <c r="R5" s="23">
        <f t="shared" si="1"/>
        <v>2.5042892965553648E-2</v>
      </c>
      <c r="S5" s="23">
        <f t="shared" si="1"/>
        <v>2.5042892965553648E-2</v>
      </c>
      <c r="T5" s="23">
        <f t="shared" si="1"/>
        <v>2.5042892965553648E-2</v>
      </c>
      <c r="U5" s="23">
        <f t="shared" si="1"/>
        <v>2.4908569734110902E-2</v>
      </c>
      <c r="V5" s="23">
        <f t="shared" si="1"/>
        <v>2.4908569734110902E-2</v>
      </c>
      <c r="W5" s="23">
        <f t="shared" si="1"/>
        <v>2.4870952604411075E-2</v>
      </c>
      <c r="X5" s="23">
        <f t="shared" si="1"/>
        <v>2.4870952604411075E-2</v>
      </c>
    </row>
    <row r="6" spans="1:26" ht="28.5" x14ac:dyDescent="0.45">
      <c r="A6" s="20" t="s">
        <v>13</v>
      </c>
      <c r="B6" s="24">
        <v>1006300</v>
      </c>
      <c r="C6" s="24">
        <v>1006300</v>
      </c>
      <c r="D6" s="31">
        <v>655300</v>
      </c>
      <c r="E6" s="30">
        <v>463050</v>
      </c>
      <c r="F6" s="30">
        <v>463050</v>
      </c>
      <c r="G6" s="30">
        <v>332550</v>
      </c>
      <c r="H6" s="30">
        <v>332550</v>
      </c>
      <c r="I6" s="30">
        <v>332550</v>
      </c>
      <c r="J6" s="30">
        <v>25250</v>
      </c>
      <c r="K6" s="30">
        <v>25250</v>
      </c>
      <c r="L6" s="30">
        <v>25250</v>
      </c>
      <c r="M6" s="30">
        <v>15105</v>
      </c>
      <c r="N6" s="30">
        <v>15105</v>
      </c>
      <c r="O6" s="30">
        <v>15105</v>
      </c>
      <c r="P6" s="30">
        <v>15105</v>
      </c>
      <c r="Q6" s="30">
        <v>15105</v>
      </c>
      <c r="R6" s="30">
        <v>11405</v>
      </c>
      <c r="S6" s="30">
        <v>11405</v>
      </c>
      <c r="T6" s="30">
        <v>11405</v>
      </c>
      <c r="U6" s="30">
        <v>11405</v>
      </c>
      <c r="V6" s="30">
        <v>11405</v>
      </c>
      <c r="W6" s="30">
        <v>0</v>
      </c>
      <c r="X6" s="29">
        <v>0</v>
      </c>
    </row>
    <row r="7" spans="1:26" ht="14.25" x14ac:dyDescent="0.45">
      <c r="A7" s="25" t="s">
        <v>90</v>
      </c>
      <c r="B7" s="24">
        <v>1006300</v>
      </c>
      <c r="C7" s="24">
        <v>1006300</v>
      </c>
      <c r="D7" s="31">
        <v>655300</v>
      </c>
      <c r="E7" s="30">
        <v>463050</v>
      </c>
      <c r="F7" s="30">
        <v>463050</v>
      </c>
      <c r="G7" s="30">
        <v>332550</v>
      </c>
      <c r="H7" s="30">
        <v>332550</v>
      </c>
      <c r="I7" s="30">
        <v>332550</v>
      </c>
      <c r="J7" s="30">
        <v>25250</v>
      </c>
      <c r="K7" s="30">
        <v>25250</v>
      </c>
      <c r="L7" s="30">
        <v>25250</v>
      </c>
      <c r="M7" s="30">
        <v>15105</v>
      </c>
      <c r="N7" s="30">
        <v>15105</v>
      </c>
      <c r="O7" s="30">
        <v>15105</v>
      </c>
      <c r="P7" s="30">
        <v>15105</v>
      </c>
      <c r="Q7" s="30">
        <v>15105</v>
      </c>
      <c r="R7" s="30">
        <v>11405</v>
      </c>
      <c r="S7" s="30">
        <v>11405</v>
      </c>
      <c r="T7" s="30">
        <v>11405</v>
      </c>
      <c r="U7" s="30">
        <v>11405</v>
      </c>
      <c r="V7" s="30">
        <v>11405</v>
      </c>
      <c r="W7" s="30">
        <v>0</v>
      </c>
      <c r="X7" s="29">
        <v>0</v>
      </c>
    </row>
    <row r="8" spans="1:26" ht="14.25" x14ac:dyDescent="0.45">
      <c r="A8" s="44"/>
      <c r="B8" s="45"/>
    </row>
    <row r="9" spans="1:26" ht="14.25" x14ac:dyDescent="0.45">
      <c r="A9" s="44"/>
      <c r="B9" s="45"/>
    </row>
    <row r="10" spans="1:26" ht="14.25" x14ac:dyDescent="0.45">
      <c r="A10" s="44"/>
      <c r="B10" s="45"/>
    </row>
    <row r="11" spans="1:26" ht="14.25" x14ac:dyDescent="0.45">
      <c r="A11" s="44"/>
      <c r="B11" s="45"/>
    </row>
    <row r="12" spans="1:26" ht="14.25" x14ac:dyDescent="0.45">
      <c r="A12" s="33"/>
    </row>
    <row r="13" spans="1:26" ht="14.25" x14ac:dyDescent="0.45">
      <c r="A13" s="33"/>
    </row>
    <row r="14" spans="1:26" ht="14.25" x14ac:dyDescent="0.45">
      <c r="A14" s="33"/>
    </row>
    <row r="15" spans="1:26" ht="14.25" x14ac:dyDescent="0.45">
      <c r="A15" s="33"/>
    </row>
    <row r="16" spans="1:26" ht="14.25" x14ac:dyDescent="0.45">
      <c r="A16" s="33"/>
    </row>
    <row r="17" spans="1:19" ht="14.25" x14ac:dyDescent="0.45">
      <c r="A17" s="33"/>
    </row>
    <row r="18" spans="1:19" ht="28.5" x14ac:dyDescent="0.45">
      <c r="A18" s="34" t="s">
        <v>91</v>
      </c>
      <c r="B18" s="88" t="s">
        <v>92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</row>
    <row r="20" spans="1:19" ht="14.25" x14ac:dyDescent="0.45">
      <c r="A20" s="85" t="s">
        <v>107</v>
      </c>
      <c r="B20" s="83"/>
      <c r="C20" s="83"/>
      <c r="D20" s="83"/>
      <c r="E20" s="83"/>
      <c r="F20" s="83"/>
    </row>
    <row r="22" spans="1:19" ht="14.25" x14ac:dyDescent="0.45">
      <c r="A22" s="82" t="s">
        <v>108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</row>
    <row r="23" spans="1:19" ht="15.75" customHeight="1" x14ac:dyDescent="0.45"/>
    <row r="24" spans="1:19" ht="15.75" customHeight="1" x14ac:dyDescent="0.45">
      <c r="A24" s="82" t="s">
        <v>109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</row>
    <row r="25" spans="1:19" ht="15.75" customHeight="1" x14ac:dyDescent="0.45"/>
    <row r="26" spans="1:19" ht="15.75" customHeight="1" x14ac:dyDescent="0.45"/>
    <row r="27" spans="1:19" ht="15.75" customHeight="1" x14ac:dyDescent="0.45"/>
    <row r="28" spans="1:19" ht="15.75" customHeight="1" x14ac:dyDescent="0.45"/>
    <row r="29" spans="1:19" ht="15.75" customHeight="1" x14ac:dyDescent="0.45"/>
    <row r="30" spans="1:19" ht="15.75" customHeight="1" x14ac:dyDescent="0.45"/>
    <row r="31" spans="1:19" ht="15.75" customHeight="1" x14ac:dyDescent="0.45"/>
    <row r="32" spans="1:19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</sheetData>
  <mergeCells count="4">
    <mergeCell ref="B18:R18"/>
    <mergeCell ref="A22:S22"/>
    <mergeCell ref="A24:M24"/>
    <mergeCell ref="A20:F20"/>
  </mergeCells>
  <hyperlinks>
    <hyperlink ref="B18" r:id="rId1" xr:uid="{00000000-0004-0000-0400-000000000000}"/>
    <hyperlink ref="A22" r:id="rId2" xr:uid="{00000000-0004-0000-0400-000001000000}"/>
    <hyperlink ref="A24" r:id="rId3" xr:uid="{00000000-0004-0000-0400-000002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001"/>
  <sheetViews>
    <sheetView workbookViewId="0"/>
  </sheetViews>
  <sheetFormatPr defaultColWidth="14.3984375" defaultRowHeight="15" customHeight="1" x14ac:dyDescent="0.45"/>
  <cols>
    <col min="1" max="1" width="22.86328125" customWidth="1"/>
    <col min="2" max="25" width="8.73046875" customWidth="1"/>
  </cols>
  <sheetData>
    <row r="1" spans="1:25" ht="28.5" x14ac:dyDescent="0.45">
      <c r="A1" s="1" t="s">
        <v>110</v>
      </c>
      <c r="B1" s="2">
        <v>44879</v>
      </c>
      <c r="C1" s="3">
        <v>44880</v>
      </c>
      <c r="D1" s="3">
        <v>44881</v>
      </c>
      <c r="E1" s="3">
        <v>44882</v>
      </c>
      <c r="F1" s="3">
        <v>44883</v>
      </c>
      <c r="G1" s="6" t="s">
        <v>111</v>
      </c>
      <c r="H1" s="5">
        <v>44886</v>
      </c>
      <c r="I1" s="38" t="s">
        <v>112</v>
      </c>
      <c r="J1" s="5">
        <v>44887</v>
      </c>
      <c r="K1" s="6" t="s">
        <v>113</v>
      </c>
      <c r="L1" s="5">
        <v>44888</v>
      </c>
      <c r="M1" s="5">
        <v>44889</v>
      </c>
      <c r="N1" s="5">
        <v>44893</v>
      </c>
      <c r="O1" s="6" t="s">
        <v>114</v>
      </c>
      <c r="P1" s="5">
        <v>44894</v>
      </c>
      <c r="Q1" s="6" t="s">
        <v>115</v>
      </c>
      <c r="R1" s="6" t="s">
        <v>116</v>
      </c>
      <c r="S1" s="7">
        <v>44896</v>
      </c>
      <c r="T1" s="7">
        <v>44897</v>
      </c>
      <c r="U1" s="8"/>
      <c r="V1" s="39"/>
      <c r="W1" s="39"/>
      <c r="X1" s="39"/>
      <c r="Y1" s="39"/>
    </row>
    <row r="2" spans="1:25" ht="14.25" x14ac:dyDescent="0.45">
      <c r="A2" s="9" t="s">
        <v>117</v>
      </c>
      <c r="B2" s="10">
        <v>82984</v>
      </c>
      <c r="C2" s="11">
        <v>91215</v>
      </c>
      <c r="D2" s="11">
        <v>95774</v>
      </c>
      <c r="E2" s="12">
        <v>102599</v>
      </c>
      <c r="F2" s="12">
        <v>109295</v>
      </c>
      <c r="G2" s="12">
        <v>109295</v>
      </c>
      <c r="H2" s="12">
        <v>120355</v>
      </c>
      <c r="I2" s="12">
        <v>120355</v>
      </c>
      <c r="J2" s="12">
        <v>122121</v>
      </c>
      <c r="K2" s="12">
        <v>122121</v>
      </c>
      <c r="L2" s="12">
        <v>122121</v>
      </c>
      <c r="M2" s="12">
        <v>123000</v>
      </c>
      <c r="N2" s="12">
        <v>123000</v>
      </c>
      <c r="O2" s="12">
        <v>123000</v>
      </c>
      <c r="P2" s="12">
        <v>123000</v>
      </c>
      <c r="Q2" s="12">
        <v>123298</v>
      </c>
      <c r="R2" s="12">
        <v>123298</v>
      </c>
      <c r="S2" s="12">
        <v>123298</v>
      </c>
      <c r="T2" s="12">
        <v>123869</v>
      </c>
      <c r="U2" s="40"/>
      <c r="V2" s="40"/>
      <c r="W2" s="40"/>
      <c r="X2" s="40"/>
      <c r="Y2" s="40"/>
    </row>
    <row r="3" spans="1:25" ht="14.25" x14ac:dyDescent="0.45">
      <c r="A3" s="14" t="s">
        <v>118</v>
      </c>
      <c r="B3" s="15">
        <v>78918</v>
      </c>
      <c r="C3" s="16">
        <v>85726</v>
      </c>
      <c r="D3" s="16">
        <v>89269</v>
      </c>
      <c r="E3" s="17">
        <v>96313</v>
      </c>
      <c r="F3" s="17">
        <v>102145</v>
      </c>
      <c r="G3" s="17">
        <v>102145</v>
      </c>
      <c r="H3" s="17">
        <v>109991</v>
      </c>
      <c r="I3" s="17">
        <v>109991</v>
      </c>
      <c r="J3" s="17">
        <v>111232</v>
      </c>
      <c r="K3" s="17">
        <v>111232</v>
      </c>
      <c r="L3" s="17">
        <v>111232</v>
      </c>
      <c r="M3" s="17">
        <v>111979</v>
      </c>
      <c r="N3" s="17">
        <v>111979</v>
      </c>
      <c r="O3" s="17">
        <v>111979</v>
      </c>
      <c r="P3" s="17">
        <v>111979</v>
      </c>
      <c r="Q3" s="17">
        <v>112324</v>
      </c>
      <c r="R3" s="17">
        <v>112324</v>
      </c>
      <c r="S3" s="17">
        <v>112324</v>
      </c>
      <c r="T3" s="17">
        <v>112769</v>
      </c>
      <c r="U3" s="19"/>
      <c r="V3" s="41"/>
      <c r="W3" s="41"/>
      <c r="X3" s="41"/>
      <c r="Y3" s="41"/>
    </row>
    <row r="4" spans="1:25" ht="14.25" x14ac:dyDescent="0.45">
      <c r="A4" s="20" t="s">
        <v>11</v>
      </c>
      <c r="B4" s="21">
        <f t="shared" ref="B4:T4" si="0">B2-B3</f>
        <v>4066</v>
      </c>
      <c r="C4" s="21">
        <f t="shared" si="0"/>
        <v>5489</v>
      </c>
      <c r="D4" s="21">
        <f t="shared" si="0"/>
        <v>6505</v>
      </c>
      <c r="E4" s="21">
        <f t="shared" si="0"/>
        <v>6286</v>
      </c>
      <c r="F4" s="21">
        <f t="shared" si="0"/>
        <v>7150</v>
      </c>
      <c r="G4" s="21">
        <f t="shared" si="0"/>
        <v>7150</v>
      </c>
      <c r="H4" s="21">
        <f t="shared" si="0"/>
        <v>10364</v>
      </c>
      <c r="I4" s="21">
        <f t="shared" si="0"/>
        <v>10364</v>
      </c>
      <c r="J4" s="21">
        <f t="shared" si="0"/>
        <v>10889</v>
      </c>
      <c r="K4" s="21">
        <f t="shared" si="0"/>
        <v>10889</v>
      </c>
      <c r="L4" s="21">
        <f t="shared" si="0"/>
        <v>10889</v>
      </c>
      <c r="M4" s="21">
        <f t="shared" si="0"/>
        <v>11021</v>
      </c>
      <c r="N4" s="21">
        <f t="shared" si="0"/>
        <v>11021</v>
      </c>
      <c r="O4" s="21">
        <f t="shared" si="0"/>
        <v>11021</v>
      </c>
      <c r="P4" s="21">
        <f t="shared" si="0"/>
        <v>11021</v>
      </c>
      <c r="Q4" s="21">
        <f t="shared" si="0"/>
        <v>10974</v>
      </c>
      <c r="R4" s="21">
        <f t="shared" si="0"/>
        <v>10974</v>
      </c>
      <c r="S4" s="21">
        <f t="shared" si="0"/>
        <v>10974</v>
      </c>
      <c r="T4" s="21">
        <f t="shared" si="0"/>
        <v>11100</v>
      </c>
    </row>
    <row r="5" spans="1:25" ht="14.25" x14ac:dyDescent="0.45">
      <c r="A5" s="20" t="s">
        <v>12</v>
      </c>
      <c r="B5" s="23">
        <f t="shared" ref="B5:T5" si="1">B4/SUM(B2:B3)</f>
        <v>2.5113957826339392E-2</v>
      </c>
      <c r="C5" s="23">
        <f t="shared" si="1"/>
        <v>3.102163998168881E-2</v>
      </c>
      <c r="D5" s="23">
        <f t="shared" si="1"/>
        <v>3.5153991234469828E-2</v>
      </c>
      <c r="E5" s="23">
        <f t="shared" si="1"/>
        <v>3.1601914414414414E-2</v>
      </c>
      <c r="F5" s="23">
        <f t="shared" si="1"/>
        <v>3.38157396897465E-2</v>
      </c>
      <c r="G5" s="23">
        <f t="shared" si="1"/>
        <v>3.38157396897465E-2</v>
      </c>
      <c r="H5" s="23">
        <f t="shared" si="1"/>
        <v>4.4993184166427898E-2</v>
      </c>
      <c r="I5" s="23">
        <f t="shared" si="1"/>
        <v>4.4993184166427898E-2</v>
      </c>
      <c r="J5" s="23">
        <f t="shared" si="1"/>
        <v>4.6663209815172718E-2</v>
      </c>
      <c r="K5" s="23">
        <f t="shared" si="1"/>
        <v>4.6663209815172718E-2</v>
      </c>
      <c r="L5" s="23">
        <f t="shared" si="1"/>
        <v>4.6663209815172718E-2</v>
      </c>
      <c r="M5" s="23">
        <f t="shared" si="1"/>
        <v>4.6902063588661114E-2</v>
      </c>
      <c r="N5" s="23">
        <f t="shared" si="1"/>
        <v>4.6902063588661114E-2</v>
      </c>
      <c r="O5" s="23">
        <f t="shared" si="1"/>
        <v>4.6902063588661114E-2</v>
      </c>
      <c r="P5" s="23">
        <f t="shared" si="1"/>
        <v>4.6902063588661114E-2</v>
      </c>
      <c r="Q5" s="23">
        <f t="shared" si="1"/>
        <v>4.657459829727275E-2</v>
      </c>
      <c r="R5" s="23">
        <f t="shared" si="1"/>
        <v>4.657459829727275E-2</v>
      </c>
      <c r="S5" s="23">
        <f t="shared" si="1"/>
        <v>4.657459829727275E-2</v>
      </c>
      <c r="T5" s="23">
        <f t="shared" si="1"/>
        <v>4.6907090154582103E-2</v>
      </c>
    </row>
    <row r="6" spans="1:25" ht="28.5" x14ac:dyDescent="0.45">
      <c r="A6" s="20" t="s">
        <v>13</v>
      </c>
      <c r="B6" s="24">
        <v>121000</v>
      </c>
      <c r="C6" s="24">
        <v>94000</v>
      </c>
      <c r="D6" s="31">
        <v>67000</v>
      </c>
      <c r="E6" s="30">
        <v>27000</v>
      </c>
      <c r="F6" s="30">
        <v>47000</v>
      </c>
      <c r="G6" s="30">
        <v>27000</v>
      </c>
      <c r="H6" s="30">
        <v>15000</v>
      </c>
      <c r="I6" s="30">
        <v>15000</v>
      </c>
      <c r="J6" s="30">
        <v>8000</v>
      </c>
      <c r="K6" s="30">
        <v>8000</v>
      </c>
      <c r="L6" s="30">
        <v>8000</v>
      </c>
      <c r="M6" s="30">
        <v>4000</v>
      </c>
      <c r="N6" s="30">
        <v>4000</v>
      </c>
      <c r="O6" s="30">
        <v>4000</v>
      </c>
      <c r="P6" s="30">
        <v>4000</v>
      </c>
      <c r="Q6" s="30">
        <v>1000</v>
      </c>
      <c r="R6" s="30">
        <v>1000</v>
      </c>
      <c r="S6" s="30">
        <v>1000</v>
      </c>
      <c r="T6" s="29">
        <v>0</v>
      </c>
    </row>
    <row r="7" spans="1:25" ht="14.25" x14ac:dyDescent="0.45">
      <c r="A7" s="25" t="s">
        <v>119</v>
      </c>
      <c r="B7" s="24">
        <v>121000</v>
      </c>
      <c r="C7" s="24">
        <v>94000</v>
      </c>
      <c r="D7" s="31">
        <v>67000</v>
      </c>
      <c r="E7" s="30">
        <v>27000</v>
      </c>
      <c r="F7" s="30">
        <v>47000</v>
      </c>
      <c r="G7" s="30">
        <v>27000</v>
      </c>
      <c r="H7" s="30">
        <v>15000</v>
      </c>
      <c r="I7" s="30">
        <v>15000</v>
      </c>
      <c r="J7" s="30">
        <v>8000</v>
      </c>
      <c r="K7" s="30">
        <v>8000</v>
      </c>
      <c r="L7" s="30">
        <v>8000</v>
      </c>
      <c r="M7" s="30">
        <v>4000</v>
      </c>
      <c r="N7" s="30">
        <v>4000</v>
      </c>
      <c r="O7" s="30">
        <v>4000</v>
      </c>
      <c r="P7" s="30">
        <v>4000</v>
      </c>
      <c r="Q7" s="30">
        <v>1000</v>
      </c>
      <c r="R7" s="30">
        <v>1000</v>
      </c>
      <c r="S7" s="30">
        <v>1000</v>
      </c>
      <c r="T7" s="29">
        <v>0</v>
      </c>
    </row>
    <row r="8" spans="1:25" ht="14.25" x14ac:dyDescent="0.45">
      <c r="A8" s="44"/>
      <c r="B8" s="45"/>
    </row>
    <row r="9" spans="1:25" ht="14.25" x14ac:dyDescent="0.45">
      <c r="A9" s="44"/>
      <c r="B9" s="45"/>
    </row>
    <row r="10" spans="1:25" ht="14.25" x14ac:dyDescent="0.45">
      <c r="A10" s="44"/>
      <c r="B10" s="45"/>
    </row>
    <row r="11" spans="1:25" ht="14.25" x14ac:dyDescent="0.45">
      <c r="A11" s="44"/>
      <c r="B11" s="45"/>
    </row>
    <row r="12" spans="1:25" ht="14.25" x14ac:dyDescent="0.45">
      <c r="A12" s="33"/>
    </row>
    <row r="13" spans="1:25" ht="14.25" x14ac:dyDescent="0.45">
      <c r="A13" s="33"/>
    </row>
    <row r="14" spans="1:25" ht="14.25" x14ac:dyDescent="0.45">
      <c r="A14" s="33"/>
    </row>
    <row r="15" spans="1:25" ht="14.25" x14ac:dyDescent="0.45">
      <c r="A15" s="33"/>
    </row>
    <row r="16" spans="1:25" ht="14.25" x14ac:dyDescent="0.45">
      <c r="A16" s="33"/>
    </row>
    <row r="17" spans="1:19" ht="14.25" x14ac:dyDescent="0.45">
      <c r="A17" s="33"/>
    </row>
    <row r="18" spans="1:19" ht="28.5" x14ac:dyDescent="0.45">
      <c r="A18" s="34" t="s">
        <v>91</v>
      </c>
      <c r="B18" s="87" t="s">
        <v>120</v>
      </c>
      <c r="C18" s="83"/>
      <c r="D18" s="83"/>
      <c r="E18" s="64"/>
      <c r="F18" s="64"/>
      <c r="G18" s="64"/>
      <c r="H18" s="64"/>
      <c r="I18" s="64"/>
      <c r="J18" s="64"/>
      <c r="K18" s="64"/>
      <c r="L18" s="64"/>
      <c r="M18" s="64"/>
    </row>
    <row r="20" spans="1:19" ht="14.25" x14ac:dyDescent="0.45">
      <c r="A20" s="85" t="s">
        <v>121</v>
      </c>
      <c r="B20" s="83"/>
      <c r="C20" s="83"/>
      <c r="D20" s="83"/>
      <c r="E20" s="83"/>
      <c r="F20" s="83"/>
    </row>
    <row r="22" spans="1:19" ht="15.75" customHeight="1" x14ac:dyDescent="0.45">
      <c r="A22" s="89" t="s">
        <v>122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</row>
    <row r="23" spans="1:19" ht="15.75" customHeight="1" x14ac:dyDescent="0.45"/>
    <row r="24" spans="1:19" ht="15.75" customHeight="1" x14ac:dyDescent="0.45">
      <c r="A24" s="82" t="s">
        <v>123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</row>
    <row r="25" spans="1:19" ht="15.75" customHeight="1" x14ac:dyDescent="0.45"/>
    <row r="26" spans="1:19" ht="15.75" customHeight="1" x14ac:dyDescent="0.45"/>
    <row r="27" spans="1:19" ht="15.75" customHeight="1" x14ac:dyDescent="0.45"/>
    <row r="28" spans="1:19" ht="15.75" customHeight="1" x14ac:dyDescent="0.45"/>
    <row r="29" spans="1:19" ht="15.75" customHeight="1" x14ac:dyDescent="0.45"/>
    <row r="30" spans="1:19" ht="15.75" customHeight="1" x14ac:dyDescent="0.45"/>
    <row r="31" spans="1:19" ht="15.75" customHeight="1" x14ac:dyDescent="0.45"/>
    <row r="32" spans="1:19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</sheetData>
  <mergeCells count="4">
    <mergeCell ref="B18:D18"/>
    <mergeCell ref="A22:S22"/>
    <mergeCell ref="A24:M24"/>
    <mergeCell ref="A20:F20"/>
  </mergeCells>
  <hyperlinks>
    <hyperlink ref="B18" r:id="rId1" xr:uid="{00000000-0004-0000-0500-000000000000}"/>
    <hyperlink ref="A22" r:id="rId2" xr:uid="{00000000-0004-0000-0500-000001000000}"/>
    <hyperlink ref="A24" r:id="rId3" xr:uid="{00000000-0004-0000-0500-000002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2"/>
  <sheetViews>
    <sheetView topLeftCell="R1" workbookViewId="0"/>
  </sheetViews>
  <sheetFormatPr defaultColWidth="14.3984375" defaultRowHeight="15" customHeight="1" x14ac:dyDescent="0.45"/>
  <cols>
    <col min="1" max="1" width="22.86328125" customWidth="1"/>
    <col min="2" max="15" width="8.73046875" customWidth="1"/>
    <col min="16" max="16" width="8" customWidth="1"/>
    <col min="17" max="26" width="8.73046875" customWidth="1"/>
  </cols>
  <sheetData>
    <row r="1" spans="1:26" ht="28.5" x14ac:dyDescent="0.45">
      <c r="A1" s="1" t="s">
        <v>124</v>
      </c>
      <c r="B1" s="2">
        <v>44879</v>
      </c>
      <c r="C1" s="3">
        <v>44880</v>
      </c>
      <c r="D1" s="3">
        <v>44881</v>
      </c>
      <c r="E1" s="3">
        <v>44882</v>
      </c>
      <c r="F1" s="3">
        <v>44883</v>
      </c>
      <c r="G1" s="6" t="s">
        <v>125</v>
      </c>
      <c r="H1" s="5">
        <v>44886</v>
      </c>
      <c r="I1" s="38" t="s">
        <v>126</v>
      </c>
      <c r="J1" s="5">
        <v>44887</v>
      </c>
      <c r="K1" s="6" t="s">
        <v>127</v>
      </c>
      <c r="L1" s="5">
        <v>44888</v>
      </c>
      <c r="M1" s="5">
        <v>44889</v>
      </c>
      <c r="N1" s="5">
        <v>44893</v>
      </c>
      <c r="O1" s="6" t="s">
        <v>114</v>
      </c>
      <c r="P1" s="6" t="s">
        <v>128</v>
      </c>
      <c r="Q1" s="38" t="s">
        <v>129</v>
      </c>
      <c r="R1" s="7">
        <v>44896</v>
      </c>
      <c r="S1" s="7">
        <v>44897</v>
      </c>
      <c r="T1" s="6" t="s">
        <v>130</v>
      </c>
      <c r="U1" s="7">
        <v>44900</v>
      </c>
      <c r="V1" s="7">
        <v>44901</v>
      </c>
      <c r="W1" s="39"/>
      <c r="X1" s="39"/>
      <c r="Y1" s="39"/>
      <c r="Z1" s="39"/>
    </row>
    <row r="2" spans="1:26" ht="14.25" x14ac:dyDescent="0.45">
      <c r="A2" s="9" t="s">
        <v>131</v>
      </c>
      <c r="B2" s="10">
        <v>88745</v>
      </c>
      <c r="C2" s="11">
        <v>96114</v>
      </c>
      <c r="D2" s="11">
        <v>101958</v>
      </c>
      <c r="E2" s="12">
        <v>106781</v>
      </c>
      <c r="F2" s="12">
        <v>110884</v>
      </c>
      <c r="G2" s="12">
        <v>111657</v>
      </c>
      <c r="H2" s="12">
        <v>112060</v>
      </c>
      <c r="I2" s="12">
        <v>112060</v>
      </c>
      <c r="J2" s="12">
        <v>112867</v>
      </c>
      <c r="K2" s="12">
        <v>112902</v>
      </c>
      <c r="L2" s="12">
        <v>112987</v>
      </c>
      <c r="M2" s="12">
        <v>113163</v>
      </c>
      <c r="N2" s="12">
        <v>113227</v>
      </c>
      <c r="O2" s="12">
        <v>113227</v>
      </c>
      <c r="P2" s="12">
        <v>113906</v>
      </c>
      <c r="Q2" s="12">
        <v>113906</v>
      </c>
      <c r="R2" s="12">
        <v>113928</v>
      </c>
      <c r="S2" s="12">
        <v>113953</v>
      </c>
      <c r="T2" s="12">
        <v>113958</v>
      </c>
      <c r="U2" s="12">
        <v>113958</v>
      </c>
      <c r="V2" s="12">
        <v>113960</v>
      </c>
      <c r="W2" s="40"/>
      <c r="X2" s="40"/>
      <c r="Y2" s="40"/>
      <c r="Z2" s="40"/>
    </row>
    <row r="3" spans="1:26" ht="14.25" customHeight="1" x14ac:dyDescent="0.45">
      <c r="A3" s="14" t="s">
        <v>132</v>
      </c>
      <c r="B3" s="15">
        <v>76252</v>
      </c>
      <c r="C3" s="16">
        <v>82477</v>
      </c>
      <c r="D3" s="16">
        <v>87486</v>
      </c>
      <c r="E3" s="17">
        <v>94089</v>
      </c>
      <c r="F3" s="17">
        <v>99492</v>
      </c>
      <c r="G3" s="17">
        <v>100658</v>
      </c>
      <c r="H3" s="17">
        <v>101541</v>
      </c>
      <c r="I3" s="17">
        <v>101541</v>
      </c>
      <c r="J3" s="17">
        <v>102421</v>
      </c>
      <c r="K3" s="17">
        <v>102472</v>
      </c>
      <c r="L3" s="17">
        <v>102572</v>
      </c>
      <c r="M3" s="17">
        <v>102802</v>
      </c>
      <c r="N3" s="17">
        <v>102845</v>
      </c>
      <c r="O3" s="17">
        <v>102845</v>
      </c>
      <c r="P3" s="17">
        <v>103406</v>
      </c>
      <c r="Q3" s="17">
        <v>103406</v>
      </c>
      <c r="R3" s="17">
        <v>103427</v>
      </c>
      <c r="S3" s="17">
        <v>103462</v>
      </c>
      <c r="T3" s="17">
        <v>103466</v>
      </c>
      <c r="U3" s="17">
        <v>103466</v>
      </c>
      <c r="V3" s="17">
        <v>103466</v>
      </c>
      <c r="W3" s="41"/>
      <c r="X3" s="41"/>
      <c r="Y3" s="41"/>
      <c r="Z3" s="41"/>
    </row>
    <row r="4" spans="1:26" ht="14.25" x14ac:dyDescent="0.45">
      <c r="A4" s="20" t="s">
        <v>11</v>
      </c>
      <c r="B4" s="21">
        <f t="shared" ref="B4:V4" si="0">B2-B3</f>
        <v>12493</v>
      </c>
      <c r="C4" s="21">
        <f t="shared" si="0"/>
        <v>13637</v>
      </c>
      <c r="D4" s="21">
        <f t="shared" si="0"/>
        <v>14472</v>
      </c>
      <c r="E4" s="21">
        <f t="shared" si="0"/>
        <v>12692</v>
      </c>
      <c r="F4" s="21">
        <f t="shared" si="0"/>
        <v>11392</v>
      </c>
      <c r="G4" s="21">
        <f t="shared" si="0"/>
        <v>10999</v>
      </c>
      <c r="H4" s="21">
        <f t="shared" si="0"/>
        <v>10519</v>
      </c>
      <c r="I4" s="21">
        <f t="shared" si="0"/>
        <v>10519</v>
      </c>
      <c r="J4" s="21">
        <f t="shared" si="0"/>
        <v>10446</v>
      </c>
      <c r="K4" s="21">
        <f t="shared" si="0"/>
        <v>10430</v>
      </c>
      <c r="L4" s="21">
        <f t="shared" si="0"/>
        <v>10415</v>
      </c>
      <c r="M4" s="21">
        <f t="shared" si="0"/>
        <v>10361</v>
      </c>
      <c r="N4" s="21">
        <f t="shared" si="0"/>
        <v>10382</v>
      </c>
      <c r="O4" s="21">
        <f t="shared" si="0"/>
        <v>10382</v>
      </c>
      <c r="P4" s="21">
        <f t="shared" si="0"/>
        <v>10500</v>
      </c>
      <c r="Q4" s="21">
        <f t="shared" si="0"/>
        <v>10500</v>
      </c>
      <c r="R4" s="21">
        <f t="shared" si="0"/>
        <v>10501</v>
      </c>
      <c r="S4" s="21">
        <f t="shared" si="0"/>
        <v>10491</v>
      </c>
      <c r="T4" s="21">
        <f t="shared" si="0"/>
        <v>10492</v>
      </c>
      <c r="U4" s="21">
        <f t="shared" si="0"/>
        <v>10492</v>
      </c>
      <c r="V4" s="21">
        <f t="shared" si="0"/>
        <v>10494</v>
      </c>
    </row>
    <row r="5" spans="1:26" ht="14.25" x14ac:dyDescent="0.45">
      <c r="A5" s="20" t="s">
        <v>12</v>
      </c>
      <c r="B5" s="23">
        <f t="shared" ref="B5:V5" si="1">B4/SUM(B2:B3)</f>
        <v>7.5716528179300233E-2</v>
      </c>
      <c r="C5" s="23">
        <f t="shared" si="1"/>
        <v>7.6358831072114497E-2</v>
      </c>
      <c r="D5" s="23">
        <f t="shared" si="1"/>
        <v>7.6391968074998415E-2</v>
      </c>
      <c r="E5" s="23">
        <f t="shared" si="1"/>
        <v>6.3185144620899095E-2</v>
      </c>
      <c r="F5" s="23">
        <f t="shared" si="1"/>
        <v>5.4150663573791689E-2</v>
      </c>
      <c r="G5" s="23">
        <f t="shared" si="1"/>
        <v>5.1805100911381671E-2</v>
      </c>
      <c r="H5" s="23">
        <f t="shared" si="1"/>
        <v>4.9246024129100521E-2</v>
      </c>
      <c r="I5" s="23">
        <f t="shared" si="1"/>
        <v>4.9246024129100521E-2</v>
      </c>
      <c r="J5" s="23">
        <f t="shared" si="1"/>
        <v>4.8521050871390879E-2</v>
      </c>
      <c r="K5" s="23">
        <f t="shared" si="1"/>
        <v>4.8427386778348361E-2</v>
      </c>
      <c r="L5" s="23">
        <f t="shared" si="1"/>
        <v>4.8316238245677517E-2</v>
      </c>
      <c r="M5" s="23">
        <f t="shared" si="1"/>
        <v>4.7975366378811383E-2</v>
      </c>
      <c r="N5" s="23">
        <f t="shared" si="1"/>
        <v>4.8048798548631935E-2</v>
      </c>
      <c r="O5" s="23">
        <f t="shared" si="1"/>
        <v>4.8048798548631935E-2</v>
      </c>
      <c r="P5" s="23">
        <f t="shared" si="1"/>
        <v>4.8317626270063321E-2</v>
      </c>
      <c r="Q5" s="23">
        <f t="shared" si="1"/>
        <v>4.8317626270063321E-2</v>
      </c>
      <c r="R5" s="23">
        <f t="shared" si="1"/>
        <v>4.8312668215592006E-2</v>
      </c>
      <c r="S5" s="23">
        <f t="shared" si="1"/>
        <v>4.8253340385897937E-2</v>
      </c>
      <c r="T5" s="23">
        <f t="shared" si="1"/>
        <v>4.8255942306277139E-2</v>
      </c>
      <c r="U5" s="23">
        <f t="shared" si="1"/>
        <v>4.8255942306277139E-2</v>
      </c>
      <c r="V5" s="23">
        <f t="shared" si="1"/>
        <v>4.8264696954366082E-2</v>
      </c>
    </row>
    <row r="6" spans="1:26" ht="28.5" x14ac:dyDescent="0.45">
      <c r="A6" s="20" t="s">
        <v>13</v>
      </c>
      <c r="B6" s="26">
        <f t="shared" ref="B6:V6" si="2">SUM(B7:B8)</f>
        <v>1245481</v>
      </c>
      <c r="C6" s="26">
        <f t="shared" si="2"/>
        <v>1182841</v>
      </c>
      <c r="D6" s="26">
        <f t="shared" si="2"/>
        <v>772060</v>
      </c>
      <c r="E6" s="26">
        <f t="shared" si="2"/>
        <v>522809</v>
      </c>
      <c r="F6" s="26">
        <f t="shared" si="2"/>
        <v>489254</v>
      </c>
      <c r="G6" s="26">
        <f t="shared" si="2"/>
        <v>355747</v>
      </c>
      <c r="H6" s="26">
        <f t="shared" si="2"/>
        <v>355747</v>
      </c>
      <c r="I6" s="26">
        <f t="shared" si="2"/>
        <v>355747</v>
      </c>
      <c r="J6" s="26">
        <f t="shared" si="2"/>
        <v>39741</v>
      </c>
      <c r="K6" s="26">
        <f t="shared" si="2"/>
        <v>39741</v>
      </c>
      <c r="L6" s="26">
        <f t="shared" si="2"/>
        <v>38735</v>
      </c>
      <c r="M6" s="26">
        <f t="shared" si="2"/>
        <v>26217</v>
      </c>
      <c r="N6" s="26">
        <f t="shared" si="2"/>
        <v>25818</v>
      </c>
      <c r="O6" s="26">
        <f t="shared" si="2"/>
        <v>25818</v>
      </c>
      <c r="P6" s="26">
        <f t="shared" si="2"/>
        <v>15105</v>
      </c>
      <c r="Q6" s="26">
        <f t="shared" si="2"/>
        <v>11405</v>
      </c>
      <c r="R6" s="26">
        <f t="shared" si="2"/>
        <v>15803</v>
      </c>
      <c r="S6" s="26">
        <f t="shared" si="2"/>
        <v>11505</v>
      </c>
      <c r="T6" s="26">
        <f t="shared" si="2"/>
        <v>11405</v>
      </c>
      <c r="U6" s="26">
        <f t="shared" si="2"/>
        <v>11405</v>
      </c>
      <c r="V6" s="26">
        <f t="shared" si="2"/>
        <v>0</v>
      </c>
    </row>
    <row r="7" spans="1:26" ht="14.25" x14ac:dyDescent="0.45">
      <c r="A7" s="25" t="s">
        <v>90</v>
      </c>
      <c r="B7" s="24">
        <v>1006300</v>
      </c>
      <c r="C7" s="24">
        <v>1006300</v>
      </c>
      <c r="D7" s="31">
        <v>655300</v>
      </c>
      <c r="E7" s="30">
        <v>463050</v>
      </c>
      <c r="F7" s="30">
        <v>463050</v>
      </c>
      <c r="G7" s="30">
        <v>332550</v>
      </c>
      <c r="H7" s="30">
        <v>332550</v>
      </c>
      <c r="I7" s="30">
        <v>332550</v>
      </c>
      <c r="J7" s="30">
        <v>25250</v>
      </c>
      <c r="K7" s="30">
        <v>25250</v>
      </c>
      <c r="L7" s="30">
        <v>25250</v>
      </c>
      <c r="M7" s="30">
        <v>15105</v>
      </c>
      <c r="N7" s="30">
        <v>15105</v>
      </c>
      <c r="O7" s="30">
        <v>15105</v>
      </c>
      <c r="P7" s="30">
        <v>15105</v>
      </c>
      <c r="Q7" s="30">
        <v>11405</v>
      </c>
      <c r="R7" s="30">
        <v>11405</v>
      </c>
      <c r="S7" s="30">
        <v>11405</v>
      </c>
      <c r="T7" s="30">
        <v>11405</v>
      </c>
      <c r="U7" s="30">
        <v>11405</v>
      </c>
      <c r="V7" s="30">
        <v>0</v>
      </c>
    </row>
    <row r="8" spans="1:26" ht="14.25" x14ac:dyDescent="0.45">
      <c r="A8" s="25" t="s">
        <v>133</v>
      </c>
      <c r="B8" s="26">
        <v>239181</v>
      </c>
      <c r="C8" s="31">
        <v>176541</v>
      </c>
      <c r="D8" s="31">
        <v>116760</v>
      </c>
      <c r="E8" s="30">
        <v>59759</v>
      </c>
      <c r="F8" s="30">
        <v>26204</v>
      </c>
      <c r="G8" s="30">
        <v>23197</v>
      </c>
      <c r="H8" s="30">
        <v>23197</v>
      </c>
      <c r="I8" s="30">
        <v>23197</v>
      </c>
      <c r="J8" s="30">
        <v>14491</v>
      </c>
      <c r="K8" s="30">
        <v>14491</v>
      </c>
      <c r="L8" s="30">
        <v>13485</v>
      </c>
      <c r="M8" s="30">
        <v>11112</v>
      </c>
      <c r="N8" s="30">
        <v>10713</v>
      </c>
      <c r="O8" s="30">
        <v>10713</v>
      </c>
      <c r="P8" s="65" t="s">
        <v>134</v>
      </c>
      <c r="Q8" s="65" t="s">
        <v>134</v>
      </c>
      <c r="R8" s="30">
        <v>4398</v>
      </c>
      <c r="S8" s="29">
        <v>100</v>
      </c>
      <c r="T8" s="29">
        <v>0</v>
      </c>
      <c r="U8" s="29">
        <v>0</v>
      </c>
      <c r="V8" s="29">
        <v>0</v>
      </c>
    </row>
    <row r="9" spans="1:26" ht="14.25" x14ac:dyDescent="0.45">
      <c r="A9" s="44"/>
      <c r="B9" s="45"/>
    </row>
    <row r="10" spans="1:26" ht="14.25" x14ac:dyDescent="0.45">
      <c r="A10" s="44"/>
      <c r="B10" s="45"/>
    </row>
    <row r="11" spans="1:26" ht="14.25" x14ac:dyDescent="0.45">
      <c r="A11" s="44"/>
      <c r="B11" s="45"/>
    </row>
    <row r="12" spans="1:26" ht="14.25" x14ac:dyDescent="0.45">
      <c r="A12" s="33"/>
    </row>
    <row r="13" spans="1:26" ht="14.25" x14ac:dyDescent="0.45">
      <c r="A13" s="33"/>
    </row>
    <row r="14" spans="1:26" ht="14.25" x14ac:dyDescent="0.45">
      <c r="A14" s="33"/>
    </row>
    <row r="15" spans="1:26" ht="14.25" x14ac:dyDescent="0.45">
      <c r="A15" s="33"/>
    </row>
    <row r="16" spans="1:26" ht="14.25" x14ac:dyDescent="0.45">
      <c r="A16" s="33"/>
    </row>
    <row r="17" spans="1:20" ht="14.25" x14ac:dyDescent="0.45">
      <c r="A17" s="33"/>
    </row>
    <row r="18" spans="1:20" ht="28.5" x14ac:dyDescent="0.45">
      <c r="A18" s="34" t="s">
        <v>91</v>
      </c>
      <c r="B18" s="90" t="s">
        <v>135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</row>
    <row r="20" spans="1:20" ht="14.25" x14ac:dyDescent="0.45">
      <c r="A20" s="85" t="s">
        <v>136</v>
      </c>
      <c r="B20" s="83"/>
      <c r="C20" s="83"/>
      <c r="D20" s="83"/>
      <c r="E20" s="83"/>
      <c r="F20" s="83"/>
    </row>
    <row r="21" spans="1:20" ht="14.25" x14ac:dyDescent="0.45">
      <c r="A21" s="66"/>
    </row>
    <row r="22" spans="1:20" ht="14.25" x14ac:dyDescent="0.45">
      <c r="A22" s="82" t="s">
        <v>137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</row>
    <row r="23" spans="1:20" ht="15.75" customHeight="1" x14ac:dyDescent="0.45"/>
    <row r="24" spans="1:20" ht="15.75" customHeight="1" x14ac:dyDescent="0.45">
      <c r="A24" s="82" t="s">
        <v>138</v>
      </c>
      <c r="B24" s="83"/>
      <c r="C24" s="83"/>
      <c r="D24" s="83"/>
      <c r="E24" s="83"/>
      <c r="F24" s="83"/>
      <c r="G24" s="83"/>
      <c r="H24" s="83"/>
      <c r="I24" s="83"/>
    </row>
    <row r="25" spans="1:20" ht="15.75" customHeight="1" x14ac:dyDescent="0.45">
      <c r="A25" s="82" t="s">
        <v>139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</row>
    <row r="26" spans="1:20" ht="15.75" customHeight="1" x14ac:dyDescent="0.45"/>
    <row r="27" spans="1:20" ht="15.75" customHeight="1" x14ac:dyDescent="0.45"/>
    <row r="28" spans="1:20" ht="15.75" customHeight="1" x14ac:dyDescent="0.45"/>
    <row r="29" spans="1:20" ht="15.75" customHeight="1" x14ac:dyDescent="0.45"/>
    <row r="30" spans="1:20" ht="15.75" customHeight="1" x14ac:dyDescent="0.45"/>
    <row r="31" spans="1:20" ht="15.75" customHeight="1" x14ac:dyDescent="0.45"/>
    <row r="32" spans="1:20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</sheetData>
  <mergeCells count="5">
    <mergeCell ref="B18:T18"/>
    <mergeCell ref="A22:R22"/>
    <mergeCell ref="A24:I24"/>
    <mergeCell ref="A25:M25"/>
    <mergeCell ref="A20:F20"/>
  </mergeCells>
  <hyperlinks>
    <hyperlink ref="B18" r:id="rId1" xr:uid="{00000000-0004-0000-0600-000000000000}"/>
    <hyperlink ref="A22" r:id="rId2" xr:uid="{00000000-0004-0000-0600-000001000000}"/>
    <hyperlink ref="A24" r:id="rId3" xr:uid="{00000000-0004-0000-0600-000002000000}"/>
    <hyperlink ref="A25" r:id="rId4" xr:uid="{00000000-0004-0000-0600-000003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002"/>
  <sheetViews>
    <sheetView workbookViewId="0">
      <selection activeCell="B1" sqref="B1"/>
    </sheetView>
  </sheetViews>
  <sheetFormatPr defaultColWidth="14.3984375" defaultRowHeight="15" customHeight="1" x14ac:dyDescent="0.45"/>
  <cols>
    <col min="1" max="1" width="22.86328125" customWidth="1"/>
    <col min="2" max="2" width="8.3984375" customWidth="1"/>
    <col min="3" max="3" width="9.1328125" customWidth="1"/>
    <col min="4" max="4" width="7.53125" customWidth="1"/>
    <col min="5" max="13" width="8.73046875" customWidth="1"/>
    <col min="14" max="14" width="8" customWidth="1"/>
    <col min="15" max="27" width="8.73046875" customWidth="1"/>
  </cols>
  <sheetData>
    <row r="1" spans="1:27" ht="28.5" x14ac:dyDescent="0.45">
      <c r="A1" s="1" t="s">
        <v>140</v>
      </c>
      <c r="B1" s="46">
        <v>44879</v>
      </c>
      <c r="C1" s="3">
        <v>44880</v>
      </c>
      <c r="D1" s="3">
        <v>44881</v>
      </c>
      <c r="E1" s="3">
        <v>44882</v>
      </c>
      <c r="F1" s="3">
        <v>44883</v>
      </c>
      <c r="G1" s="6" t="s">
        <v>141</v>
      </c>
      <c r="H1" s="5">
        <v>44886</v>
      </c>
      <c r="I1" s="38" t="s">
        <v>142</v>
      </c>
      <c r="J1" s="5">
        <v>44887</v>
      </c>
      <c r="K1" s="6" t="s">
        <v>143</v>
      </c>
      <c r="L1" s="5">
        <v>44888</v>
      </c>
      <c r="M1" s="5">
        <v>44889</v>
      </c>
      <c r="N1" s="5">
        <v>44893</v>
      </c>
      <c r="O1" s="6" t="s">
        <v>144</v>
      </c>
      <c r="P1" s="5">
        <v>44894</v>
      </c>
      <c r="Q1" s="38" t="s">
        <v>145</v>
      </c>
      <c r="R1" s="6" t="s">
        <v>146</v>
      </c>
      <c r="S1" s="7">
        <v>44896</v>
      </c>
      <c r="T1" s="7">
        <v>44897</v>
      </c>
      <c r="U1" s="6" t="s">
        <v>147</v>
      </c>
      <c r="V1" s="8"/>
      <c r="W1" s="39"/>
      <c r="X1" s="39"/>
      <c r="Y1" s="39"/>
      <c r="Z1" s="39"/>
      <c r="AA1" s="39"/>
    </row>
    <row r="2" spans="1:27" ht="14.25" x14ac:dyDescent="0.45">
      <c r="A2" s="14" t="s">
        <v>148</v>
      </c>
      <c r="B2" s="48">
        <v>105045</v>
      </c>
      <c r="C2" s="16">
        <v>114392</v>
      </c>
      <c r="D2" s="16">
        <v>120876</v>
      </c>
      <c r="E2" s="17">
        <v>129463</v>
      </c>
      <c r="F2" s="17">
        <v>133759</v>
      </c>
      <c r="G2" s="17">
        <v>134258</v>
      </c>
      <c r="H2" s="17">
        <v>134258</v>
      </c>
      <c r="I2" s="17">
        <v>134258</v>
      </c>
      <c r="J2" s="17">
        <v>135699</v>
      </c>
      <c r="K2" s="17">
        <v>135699</v>
      </c>
      <c r="L2" s="17">
        <v>135868</v>
      </c>
      <c r="M2" s="17">
        <v>136300</v>
      </c>
      <c r="N2" s="17">
        <v>136356</v>
      </c>
      <c r="O2" s="17">
        <v>136356</v>
      </c>
      <c r="P2" s="17">
        <v>137016</v>
      </c>
      <c r="Q2" s="17">
        <v>137297</v>
      </c>
      <c r="R2" s="17">
        <v>137297</v>
      </c>
      <c r="S2" s="17">
        <v>137332</v>
      </c>
      <c r="T2" s="17">
        <v>137374</v>
      </c>
      <c r="U2" s="17">
        <v>137374</v>
      </c>
      <c r="V2" s="19"/>
      <c r="W2" s="41"/>
      <c r="X2" s="41"/>
      <c r="Y2" s="41"/>
      <c r="Z2" s="41"/>
      <c r="AA2" s="41"/>
    </row>
    <row r="3" spans="1:27" ht="14.25" x14ac:dyDescent="0.45">
      <c r="A3" s="9" t="s">
        <v>149</v>
      </c>
      <c r="B3" s="47">
        <v>99907</v>
      </c>
      <c r="C3" s="11">
        <v>111501</v>
      </c>
      <c r="D3" s="11">
        <v>117204</v>
      </c>
      <c r="E3" s="12">
        <v>122543</v>
      </c>
      <c r="F3" s="12">
        <v>125509</v>
      </c>
      <c r="G3" s="12">
        <v>125857</v>
      </c>
      <c r="H3" s="12">
        <v>125857</v>
      </c>
      <c r="I3" s="12">
        <v>125857</v>
      </c>
      <c r="J3" s="12">
        <v>126967</v>
      </c>
      <c r="K3" s="12">
        <v>126967</v>
      </c>
      <c r="L3" s="12">
        <v>127088</v>
      </c>
      <c r="M3" s="12">
        <v>127318</v>
      </c>
      <c r="N3" s="12">
        <v>127356</v>
      </c>
      <c r="O3" s="12">
        <v>127356</v>
      </c>
      <c r="P3" s="12">
        <v>127911</v>
      </c>
      <c r="Q3" s="12">
        <v>128186</v>
      </c>
      <c r="R3" s="12">
        <v>128186</v>
      </c>
      <c r="S3" s="12">
        <v>128209</v>
      </c>
      <c r="T3" s="12">
        <v>128261</v>
      </c>
      <c r="U3" s="12">
        <v>128261</v>
      </c>
      <c r="V3" s="13"/>
      <c r="W3" s="40"/>
      <c r="X3" s="40"/>
      <c r="Y3" s="40"/>
      <c r="Z3" s="40"/>
      <c r="AA3" s="40"/>
    </row>
    <row r="4" spans="1:27" ht="14.25" x14ac:dyDescent="0.45">
      <c r="A4" s="20" t="s">
        <v>11</v>
      </c>
      <c r="B4" s="21">
        <f t="shared" ref="B4:U4" si="0">B2-B3</f>
        <v>5138</v>
      </c>
      <c r="C4" s="21">
        <f t="shared" si="0"/>
        <v>2891</v>
      </c>
      <c r="D4" s="21">
        <f t="shared" si="0"/>
        <v>3672</v>
      </c>
      <c r="E4" s="21">
        <f t="shared" si="0"/>
        <v>6920</v>
      </c>
      <c r="F4" s="21">
        <f t="shared" si="0"/>
        <v>8250</v>
      </c>
      <c r="G4" s="21">
        <f t="shared" si="0"/>
        <v>8401</v>
      </c>
      <c r="H4" s="21">
        <f t="shared" si="0"/>
        <v>8401</v>
      </c>
      <c r="I4" s="21">
        <f t="shared" si="0"/>
        <v>8401</v>
      </c>
      <c r="J4" s="21">
        <f t="shared" si="0"/>
        <v>8732</v>
      </c>
      <c r="K4" s="21">
        <f t="shared" si="0"/>
        <v>8732</v>
      </c>
      <c r="L4" s="21">
        <f t="shared" si="0"/>
        <v>8780</v>
      </c>
      <c r="M4" s="21">
        <f t="shared" si="0"/>
        <v>8982</v>
      </c>
      <c r="N4" s="21">
        <f t="shared" si="0"/>
        <v>9000</v>
      </c>
      <c r="O4" s="21">
        <f t="shared" si="0"/>
        <v>9000</v>
      </c>
      <c r="P4" s="21">
        <f t="shared" si="0"/>
        <v>9105</v>
      </c>
      <c r="Q4" s="21">
        <f t="shared" si="0"/>
        <v>9111</v>
      </c>
      <c r="R4" s="21">
        <f t="shared" si="0"/>
        <v>9111</v>
      </c>
      <c r="S4" s="21">
        <f t="shared" si="0"/>
        <v>9123</v>
      </c>
      <c r="T4" s="21">
        <f t="shared" si="0"/>
        <v>9113</v>
      </c>
      <c r="U4" s="21">
        <f t="shared" si="0"/>
        <v>9113</v>
      </c>
      <c r="V4" s="22"/>
    </row>
    <row r="5" spans="1:27" ht="14.25" x14ac:dyDescent="0.45">
      <c r="A5" s="20" t="s">
        <v>12</v>
      </c>
      <c r="B5" s="23">
        <f t="shared" ref="B5:U5" si="1">B4/SUM(B2:B3)</f>
        <v>2.5069284515398728E-2</v>
      </c>
      <c r="C5" s="23">
        <f t="shared" si="1"/>
        <v>1.2798094673141708E-2</v>
      </c>
      <c r="D5" s="23">
        <f t="shared" si="1"/>
        <v>1.5423387096774193E-2</v>
      </c>
      <c r="E5" s="23">
        <f t="shared" si="1"/>
        <v>2.7459663658801776E-2</v>
      </c>
      <c r="F5" s="23">
        <f t="shared" si="1"/>
        <v>3.1820355770862584E-2</v>
      </c>
      <c r="G5" s="23">
        <f t="shared" si="1"/>
        <v>3.2297253138035102E-2</v>
      </c>
      <c r="H5" s="23">
        <f t="shared" si="1"/>
        <v>3.2297253138035102E-2</v>
      </c>
      <c r="I5" s="23">
        <f t="shared" si="1"/>
        <v>3.2297253138035102E-2</v>
      </c>
      <c r="J5" s="23">
        <f t="shared" si="1"/>
        <v>3.3243739197307609E-2</v>
      </c>
      <c r="K5" s="23">
        <f t="shared" si="1"/>
        <v>3.3243739197307609E-2</v>
      </c>
      <c r="L5" s="23">
        <f t="shared" si="1"/>
        <v>3.3389616513789376E-2</v>
      </c>
      <c r="M5" s="23">
        <f t="shared" si="1"/>
        <v>3.4072028465431038E-2</v>
      </c>
      <c r="N5" s="23">
        <f t="shared" si="1"/>
        <v>3.4128139788860576E-2</v>
      </c>
      <c r="O5" s="23">
        <f t="shared" si="1"/>
        <v>3.4128139788860576E-2</v>
      </c>
      <c r="P5" s="23">
        <f t="shared" si="1"/>
        <v>3.4367957965779253E-2</v>
      </c>
      <c r="Q5" s="23">
        <f t="shared" si="1"/>
        <v>3.4318581604095177E-2</v>
      </c>
      <c r="R5" s="23">
        <f t="shared" si="1"/>
        <v>3.4318581604095177E-2</v>
      </c>
      <c r="S5" s="23">
        <f t="shared" si="1"/>
        <v>3.4356276431888107E-2</v>
      </c>
      <c r="T5" s="23">
        <f t="shared" si="1"/>
        <v>3.4306473168068966E-2</v>
      </c>
      <c r="U5" s="23">
        <f t="shared" si="1"/>
        <v>3.4306473168068966E-2</v>
      </c>
    </row>
    <row r="6" spans="1:27" ht="28.5" x14ac:dyDescent="0.45">
      <c r="A6" s="20" t="s">
        <v>13</v>
      </c>
      <c r="B6" s="21">
        <v>239181</v>
      </c>
      <c r="C6" s="21">
        <v>176541</v>
      </c>
      <c r="D6" s="31">
        <v>116760</v>
      </c>
      <c r="E6" s="30">
        <v>59759</v>
      </c>
      <c r="F6" s="30">
        <v>26204</v>
      </c>
      <c r="G6" s="30">
        <v>23197</v>
      </c>
      <c r="H6" s="30">
        <v>23197</v>
      </c>
      <c r="I6" s="30">
        <v>23197</v>
      </c>
      <c r="J6" s="30">
        <v>14491</v>
      </c>
      <c r="K6" s="30">
        <v>14491</v>
      </c>
      <c r="L6" s="30">
        <v>13485</v>
      </c>
      <c r="M6" s="30">
        <v>11112</v>
      </c>
      <c r="N6" s="30">
        <v>10713</v>
      </c>
      <c r="O6" s="30">
        <v>10713</v>
      </c>
      <c r="P6" s="30">
        <v>6688</v>
      </c>
      <c r="Q6" s="30">
        <v>4690</v>
      </c>
      <c r="R6" s="30">
        <v>4690</v>
      </c>
      <c r="S6" s="30">
        <v>4398</v>
      </c>
      <c r="T6" s="29">
        <v>100</v>
      </c>
      <c r="U6" s="29">
        <v>0</v>
      </c>
    </row>
    <row r="7" spans="1:27" ht="14.25" x14ac:dyDescent="0.45">
      <c r="A7" s="25" t="s">
        <v>133</v>
      </c>
      <c r="B7" s="21">
        <v>239181</v>
      </c>
      <c r="C7" s="21">
        <v>176541</v>
      </c>
      <c r="D7" s="31">
        <v>116760</v>
      </c>
      <c r="E7" s="30">
        <v>59759</v>
      </c>
      <c r="F7" s="30">
        <v>26204</v>
      </c>
      <c r="G7" s="30">
        <v>23197</v>
      </c>
      <c r="H7" s="30">
        <v>23197</v>
      </c>
      <c r="I7" s="30">
        <v>23197</v>
      </c>
      <c r="J7" s="30">
        <v>14491</v>
      </c>
      <c r="K7" s="30">
        <v>14491</v>
      </c>
      <c r="L7" s="30">
        <v>13485</v>
      </c>
      <c r="M7" s="30">
        <v>11112</v>
      </c>
      <c r="N7" s="30">
        <v>10713</v>
      </c>
      <c r="O7" s="30">
        <v>10713</v>
      </c>
      <c r="P7" s="30">
        <v>6688</v>
      </c>
      <c r="Q7" s="30">
        <v>4690</v>
      </c>
      <c r="R7" s="30">
        <v>4690</v>
      </c>
      <c r="S7" s="30">
        <v>4398</v>
      </c>
      <c r="T7" s="29">
        <v>100</v>
      </c>
      <c r="U7" s="29">
        <v>0</v>
      </c>
    </row>
    <row r="8" spans="1:27" ht="14.25" x14ac:dyDescent="0.45">
      <c r="A8" s="33"/>
      <c r="B8" s="67"/>
    </row>
    <row r="9" spans="1:27" ht="14.25" x14ac:dyDescent="0.45">
      <c r="A9" s="33"/>
      <c r="B9" s="67"/>
    </row>
    <row r="10" spans="1:27" ht="14.25" x14ac:dyDescent="0.45">
      <c r="A10" s="33"/>
      <c r="B10" s="67"/>
    </row>
    <row r="11" spans="1:27" ht="14.25" x14ac:dyDescent="0.45">
      <c r="A11" s="33"/>
      <c r="B11" s="67"/>
    </row>
    <row r="12" spans="1:27" ht="14.25" x14ac:dyDescent="0.45">
      <c r="A12" s="33"/>
      <c r="B12" s="67"/>
    </row>
    <row r="13" spans="1:27" ht="14.25" x14ac:dyDescent="0.45">
      <c r="A13" s="33"/>
      <c r="B13" s="67"/>
    </row>
    <row r="14" spans="1:27" ht="14.25" x14ac:dyDescent="0.45">
      <c r="A14" s="33"/>
      <c r="B14" s="67"/>
    </row>
    <row r="15" spans="1:27" ht="14.25" x14ac:dyDescent="0.45">
      <c r="A15" s="33"/>
      <c r="B15" s="67"/>
    </row>
    <row r="16" spans="1:27" ht="14.25" x14ac:dyDescent="0.45">
      <c r="A16" s="33"/>
      <c r="B16" s="67"/>
    </row>
    <row r="17" spans="1:17" ht="14.25" x14ac:dyDescent="0.45">
      <c r="A17" s="33"/>
      <c r="B17" s="67"/>
    </row>
    <row r="18" spans="1:17" ht="28.5" x14ac:dyDescent="0.45">
      <c r="A18" s="20" t="s">
        <v>91</v>
      </c>
      <c r="B18" s="91" t="s">
        <v>150</v>
      </c>
      <c r="C18" s="83"/>
      <c r="D18" s="83"/>
      <c r="E18" s="83"/>
      <c r="F18" s="83"/>
      <c r="G18" s="83"/>
      <c r="H18" s="83"/>
      <c r="I18" s="83"/>
      <c r="J18" s="83"/>
      <c r="K18" s="83"/>
    </row>
    <row r="19" spans="1:17" ht="14.25" x14ac:dyDescent="0.45">
      <c r="A19" s="33"/>
      <c r="B19" s="67"/>
    </row>
    <row r="20" spans="1:17" ht="14.25" x14ac:dyDescent="0.45">
      <c r="A20" s="85" t="s">
        <v>151</v>
      </c>
      <c r="B20" s="83"/>
      <c r="C20" s="83"/>
      <c r="D20" s="83"/>
      <c r="E20" s="83"/>
      <c r="F20" s="83"/>
    </row>
    <row r="21" spans="1:17" ht="14.25" x14ac:dyDescent="0.45">
      <c r="A21" s="68"/>
      <c r="B21" s="67"/>
    </row>
    <row r="22" spans="1:17" ht="14.25" x14ac:dyDescent="0.45">
      <c r="A22" s="92" t="s">
        <v>152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</row>
    <row r="23" spans="1:17" ht="15.75" customHeight="1" x14ac:dyDescent="0.45">
      <c r="A23" s="33"/>
      <c r="B23" s="67"/>
    </row>
    <row r="24" spans="1:17" ht="15.75" customHeight="1" x14ac:dyDescent="0.45">
      <c r="A24" s="82" t="s">
        <v>153</v>
      </c>
      <c r="B24" s="83"/>
      <c r="C24" s="83"/>
      <c r="D24" s="83"/>
      <c r="E24" s="83"/>
      <c r="F24" s="83"/>
      <c r="G24" s="83"/>
      <c r="H24" s="83"/>
      <c r="I24" s="83"/>
    </row>
    <row r="25" spans="1:17" ht="15.75" customHeight="1" x14ac:dyDescent="0.45">
      <c r="A25" s="33"/>
      <c r="B25" s="67"/>
    </row>
    <row r="26" spans="1:17" ht="15.75" customHeight="1" x14ac:dyDescent="0.45">
      <c r="A26" s="33"/>
      <c r="B26" s="67"/>
    </row>
    <row r="27" spans="1:17" ht="15.75" customHeight="1" x14ac:dyDescent="0.45">
      <c r="A27" s="33"/>
      <c r="B27" s="67"/>
    </row>
    <row r="28" spans="1:17" ht="15.75" customHeight="1" x14ac:dyDescent="0.45">
      <c r="A28" s="33"/>
      <c r="B28" s="67"/>
    </row>
    <row r="29" spans="1:17" ht="15.75" customHeight="1" x14ac:dyDescent="0.45">
      <c r="A29" s="33"/>
      <c r="B29" s="67"/>
    </row>
    <row r="30" spans="1:17" ht="15.75" customHeight="1" x14ac:dyDescent="0.45">
      <c r="A30" s="33"/>
      <c r="B30" s="67"/>
    </row>
    <row r="31" spans="1:17" ht="15.75" customHeight="1" x14ac:dyDescent="0.45">
      <c r="A31" s="33"/>
      <c r="B31" s="67"/>
    </row>
    <row r="32" spans="1:17" ht="15.75" customHeight="1" x14ac:dyDescent="0.45">
      <c r="A32" s="33"/>
      <c r="B32" s="67"/>
    </row>
    <row r="33" spans="1:2" ht="15.75" customHeight="1" x14ac:dyDescent="0.45">
      <c r="A33" s="33"/>
      <c r="B33" s="67"/>
    </row>
    <row r="34" spans="1:2" ht="15.75" customHeight="1" x14ac:dyDescent="0.45">
      <c r="A34" s="33"/>
      <c r="B34" s="67"/>
    </row>
    <row r="35" spans="1:2" ht="15.75" customHeight="1" x14ac:dyDescent="0.45">
      <c r="A35" s="33"/>
      <c r="B35" s="67"/>
    </row>
    <row r="36" spans="1:2" ht="15.75" customHeight="1" x14ac:dyDescent="0.45">
      <c r="A36" s="33"/>
      <c r="B36" s="67"/>
    </row>
    <row r="37" spans="1:2" ht="15.75" customHeight="1" x14ac:dyDescent="0.45">
      <c r="A37" s="33"/>
      <c r="B37" s="67"/>
    </row>
    <row r="38" spans="1:2" ht="15.75" customHeight="1" x14ac:dyDescent="0.45">
      <c r="A38" s="33"/>
      <c r="B38" s="67"/>
    </row>
    <row r="39" spans="1:2" ht="15.75" customHeight="1" x14ac:dyDescent="0.45">
      <c r="A39" s="33"/>
      <c r="B39" s="67"/>
    </row>
    <row r="40" spans="1:2" ht="15.75" customHeight="1" x14ac:dyDescent="0.45">
      <c r="A40" s="33"/>
      <c r="B40" s="67"/>
    </row>
    <row r="41" spans="1:2" ht="15.75" customHeight="1" x14ac:dyDescent="0.45">
      <c r="A41" s="33"/>
      <c r="B41" s="67"/>
    </row>
    <row r="42" spans="1:2" ht="15.75" customHeight="1" x14ac:dyDescent="0.45">
      <c r="A42" s="33"/>
      <c r="B42" s="67"/>
    </row>
    <row r="43" spans="1:2" ht="15.75" customHeight="1" x14ac:dyDescent="0.45">
      <c r="A43" s="33"/>
      <c r="B43" s="67"/>
    </row>
    <row r="44" spans="1:2" ht="15.75" customHeight="1" x14ac:dyDescent="0.45">
      <c r="A44" s="33"/>
      <c r="B44" s="67"/>
    </row>
    <row r="45" spans="1:2" ht="15.75" customHeight="1" x14ac:dyDescent="0.45">
      <c r="A45" s="33"/>
      <c r="B45" s="67"/>
    </row>
    <row r="46" spans="1:2" ht="15.75" customHeight="1" x14ac:dyDescent="0.45">
      <c r="A46" s="33"/>
      <c r="B46" s="67"/>
    </row>
    <row r="47" spans="1:2" ht="15.75" customHeight="1" x14ac:dyDescent="0.45">
      <c r="A47" s="33"/>
      <c r="B47" s="67"/>
    </row>
    <row r="48" spans="1:2" ht="15.75" customHeight="1" x14ac:dyDescent="0.45">
      <c r="A48" s="33"/>
      <c r="B48" s="67"/>
    </row>
    <row r="49" spans="1:2" ht="15.75" customHeight="1" x14ac:dyDescent="0.45">
      <c r="A49" s="33"/>
      <c r="B49" s="67"/>
    </row>
    <row r="50" spans="1:2" ht="15.75" customHeight="1" x14ac:dyDescent="0.45">
      <c r="A50" s="33"/>
      <c r="B50" s="67"/>
    </row>
    <row r="51" spans="1:2" ht="15.75" customHeight="1" x14ac:dyDescent="0.45">
      <c r="A51" s="33"/>
      <c r="B51" s="67"/>
    </row>
    <row r="52" spans="1:2" ht="15.75" customHeight="1" x14ac:dyDescent="0.45">
      <c r="A52" s="33"/>
      <c r="B52" s="67"/>
    </row>
    <row r="53" spans="1:2" ht="15.75" customHeight="1" x14ac:dyDescent="0.45">
      <c r="A53" s="33"/>
      <c r="B53" s="67"/>
    </row>
    <row r="54" spans="1:2" ht="15.75" customHeight="1" x14ac:dyDescent="0.45">
      <c r="A54" s="33"/>
      <c r="B54" s="67"/>
    </row>
    <row r="55" spans="1:2" ht="15.75" customHeight="1" x14ac:dyDescent="0.45">
      <c r="A55" s="33"/>
      <c r="B55" s="67"/>
    </row>
    <row r="56" spans="1:2" ht="15.75" customHeight="1" x14ac:dyDescent="0.45">
      <c r="A56" s="33"/>
      <c r="B56" s="67"/>
    </row>
    <row r="57" spans="1:2" ht="15.75" customHeight="1" x14ac:dyDescent="0.45">
      <c r="A57" s="33"/>
      <c r="B57" s="67"/>
    </row>
    <row r="58" spans="1:2" ht="15.75" customHeight="1" x14ac:dyDescent="0.45">
      <c r="A58" s="33"/>
      <c r="B58" s="67"/>
    </row>
    <row r="59" spans="1:2" ht="15.75" customHeight="1" x14ac:dyDescent="0.45">
      <c r="A59" s="33"/>
      <c r="B59" s="67"/>
    </row>
    <row r="60" spans="1:2" ht="15.75" customHeight="1" x14ac:dyDescent="0.45">
      <c r="A60" s="33"/>
      <c r="B60" s="67"/>
    </row>
    <row r="61" spans="1:2" ht="15.75" customHeight="1" x14ac:dyDescent="0.45">
      <c r="A61" s="33"/>
      <c r="B61" s="67"/>
    </row>
    <row r="62" spans="1:2" ht="15.75" customHeight="1" x14ac:dyDescent="0.45">
      <c r="A62" s="33"/>
      <c r="B62" s="67"/>
    </row>
    <row r="63" spans="1:2" ht="15.75" customHeight="1" x14ac:dyDescent="0.45">
      <c r="A63" s="33"/>
      <c r="B63" s="67"/>
    </row>
    <row r="64" spans="1:2" ht="15.75" customHeight="1" x14ac:dyDescent="0.45">
      <c r="A64" s="33"/>
      <c r="B64" s="67"/>
    </row>
    <row r="65" spans="1:2" ht="15.75" customHeight="1" x14ac:dyDescent="0.45">
      <c r="A65" s="33"/>
      <c r="B65" s="67"/>
    </row>
    <row r="66" spans="1:2" ht="15.75" customHeight="1" x14ac:dyDescent="0.45">
      <c r="A66" s="33"/>
      <c r="B66" s="67"/>
    </row>
    <row r="67" spans="1:2" ht="15.75" customHeight="1" x14ac:dyDescent="0.45">
      <c r="A67" s="33"/>
      <c r="B67" s="67"/>
    </row>
    <row r="68" spans="1:2" ht="15.75" customHeight="1" x14ac:dyDescent="0.45">
      <c r="A68" s="33"/>
      <c r="B68" s="67"/>
    </row>
    <row r="69" spans="1:2" ht="15.75" customHeight="1" x14ac:dyDescent="0.45">
      <c r="A69" s="33"/>
      <c r="B69" s="67"/>
    </row>
    <row r="70" spans="1:2" ht="15.75" customHeight="1" x14ac:dyDescent="0.45">
      <c r="A70" s="33"/>
      <c r="B70" s="67"/>
    </row>
    <row r="71" spans="1:2" ht="15.75" customHeight="1" x14ac:dyDescent="0.45">
      <c r="A71" s="33"/>
      <c r="B71" s="67"/>
    </row>
    <row r="72" spans="1:2" ht="15.75" customHeight="1" x14ac:dyDescent="0.45">
      <c r="A72" s="33"/>
      <c r="B72" s="67"/>
    </row>
    <row r="73" spans="1:2" ht="15.75" customHeight="1" x14ac:dyDescent="0.45">
      <c r="A73" s="33"/>
      <c r="B73" s="67"/>
    </row>
    <row r="74" spans="1:2" ht="15.75" customHeight="1" x14ac:dyDescent="0.45">
      <c r="A74" s="33"/>
      <c r="B74" s="67"/>
    </row>
    <row r="75" spans="1:2" ht="15.75" customHeight="1" x14ac:dyDescent="0.45">
      <c r="A75" s="33"/>
      <c r="B75" s="67"/>
    </row>
    <row r="76" spans="1:2" ht="15.75" customHeight="1" x14ac:dyDescent="0.45">
      <c r="A76" s="33"/>
      <c r="B76" s="67"/>
    </row>
    <row r="77" spans="1:2" ht="15.75" customHeight="1" x14ac:dyDescent="0.45">
      <c r="A77" s="33"/>
      <c r="B77" s="67"/>
    </row>
    <row r="78" spans="1:2" ht="15.75" customHeight="1" x14ac:dyDescent="0.45">
      <c r="A78" s="33"/>
      <c r="B78" s="67"/>
    </row>
    <row r="79" spans="1:2" ht="15.75" customHeight="1" x14ac:dyDescent="0.45">
      <c r="A79" s="33"/>
      <c r="B79" s="67"/>
    </row>
    <row r="80" spans="1:2" ht="15.75" customHeight="1" x14ac:dyDescent="0.45">
      <c r="A80" s="33"/>
      <c r="B80" s="67"/>
    </row>
    <row r="81" spans="1:2" ht="15.75" customHeight="1" x14ac:dyDescent="0.45">
      <c r="A81" s="33"/>
      <c r="B81" s="67"/>
    </row>
    <row r="82" spans="1:2" ht="15.75" customHeight="1" x14ac:dyDescent="0.45">
      <c r="A82" s="33"/>
      <c r="B82" s="67"/>
    </row>
    <row r="83" spans="1:2" ht="15.75" customHeight="1" x14ac:dyDescent="0.45">
      <c r="A83" s="33"/>
      <c r="B83" s="67"/>
    </row>
    <row r="84" spans="1:2" ht="15.75" customHeight="1" x14ac:dyDescent="0.45">
      <c r="A84" s="33"/>
      <c r="B84" s="67"/>
    </row>
    <row r="85" spans="1:2" ht="15.75" customHeight="1" x14ac:dyDescent="0.45">
      <c r="A85" s="33"/>
      <c r="B85" s="67"/>
    </row>
    <row r="86" spans="1:2" ht="15.75" customHeight="1" x14ac:dyDescent="0.45">
      <c r="A86" s="33"/>
      <c r="B86" s="67"/>
    </row>
    <row r="87" spans="1:2" ht="15.75" customHeight="1" x14ac:dyDescent="0.45">
      <c r="A87" s="33"/>
      <c r="B87" s="67"/>
    </row>
    <row r="88" spans="1:2" ht="15.75" customHeight="1" x14ac:dyDescent="0.45">
      <c r="A88" s="33"/>
      <c r="B88" s="67"/>
    </row>
    <row r="89" spans="1:2" ht="15.75" customHeight="1" x14ac:dyDescent="0.45">
      <c r="A89" s="33"/>
      <c r="B89" s="67"/>
    </row>
    <row r="90" spans="1:2" ht="15.75" customHeight="1" x14ac:dyDescent="0.45">
      <c r="A90" s="33"/>
      <c r="B90" s="67"/>
    </row>
    <row r="91" spans="1:2" ht="15.75" customHeight="1" x14ac:dyDescent="0.45">
      <c r="A91" s="33"/>
      <c r="B91" s="67"/>
    </row>
    <row r="92" spans="1:2" ht="15.75" customHeight="1" x14ac:dyDescent="0.45">
      <c r="A92" s="33"/>
      <c r="B92" s="67"/>
    </row>
    <row r="93" spans="1:2" ht="15.75" customHeight="1" x14ac:dyDescent="0.45">
      <c r="A93" s="33"/>
      <c r="B93" s="67"/>
    </row>
    <row r="94" spans="1:2" ht="15.75" customHeight="1" x14ac:dyDescent="0.45">
      <c r="A94" s="33"/>
      <c r="B94" s="67"/>
    </row>
    <row r="95" spans="1:2" ht="15.75" customHeight="1" x14ac:dyDescent="0.45">
      <c r="A95" s="33"/>
      <c r="B95" s="67"/>
    </row>
    <row r="96" spans="1:2" ht="15.75" customHeight="1" x14ac:dyDescent="0.45">
      <c r="A96" s="33"/>
      <c r="B96" s="67"/>
    </row>
    <row r="97" spans="1:2" ht="15.75" customHeight="1" x14ac:dyDescent="0.45">
      <c r="A97" s="33"/>
      <c r="B97" s="67"/>
    </row>
    <row r="98" spans="1:2" ht="15.75" customHeight="1" x14ac:dyDescent="0.45">
      <c r="A98" s="33"/>
      <c r="B98" s="67"/>
    </row>
    <row r="99" spans="1:2" ht="15.75" customHeight="1" x14ac:dyDescent="0.45">
      <c r="A99" s="33"/>
      <c r="B99" s="67"/>
    </row>
    <row r="100" spans="1:2" ht="15.75" customHeight="1" x14ac:dyDescent="0.45">
      <c r="A100" s="33"/>
      <c r="B100" s="67"/>
    </row>
    <row r="101" spans="1:2" ht="15.75" customHeight="1" x14ac:dyDescent="0.45">
      <c r="A101" s="33"/>
      <c r="B101" s="67"/>
    </row>
    <row r="102" spans="1:2" ht="15.75" customHeight="1" x14ac:dyDescent="0.45">
      <c r="A102" s="33"/>
      <c r="B102" s="67"/>
    </row>
    <row r="103" spans="1:2" ht="15.75" customHeight="1" x14ac:dyDescent="0.45">
      <c r="A103" s="33"/>
      <c r="B103" s="67"/>
    </row>
    <row r="104" spans="1:2" ht="15.75" customHeight="1" x14ac:dyDescent="0.45">
      <c r="A104" s="33"/>
      <c r="B104" s="67"/>
    </row>
    <row r="105" spans="1:2" ht="15.75" customHeight="1" x14ac:dyDescent="0.45">
      <c r="A105" s="33"/>
      <c r="B105" s="67"/>
    </row>
    <row r="106" spans="1:2" ht="15.75" customHeight="1" x14ac:dyDescent="0.45">
      <c r="A106" s="33"/>
      <c r="B106" s="67"/>
    </row>
    <row r="107" spans="1:2" ht="15.75" customHeight="1" x14ac:dyDescent="0.45">
      <c r="A107" s="33"/>
      <c r="B107" s="67"/>
    </row>
    <row r="108" spans="1:2" ht="15.75" customHeight="1" x14ac:dyDescent="0.45">
      <c r="A108" s="33"/>
      <c r="B108" s="67"/>
    </row>
    <row r="109" spans="1:2" ht="15.75" customHeight="1" x14ac:dyDescent="0.45">
      <c r="A109" s="33"/>
      <c r="B109" s="67"/>
    </row>
    <row r="110" spans="1:2" ht="15.75" customHeight="1" x14ac:dyDescent="0.45">
      <c r="A110" s="33"/>
      <c r="B110" s="67"/>
    </row>
    <row r="111" spans="1:2" ht="15.75" customHeight="1" x14ac:dyDescent="0.45">
      <c r="A111" s="33"/>
      <c r="B111" s="67"/>
    </row>
    <row r="112" spans="1:2" ht="15.75" customHeight="1" x14ac:dyDescent="0.45">
      <c r="A112" s="33"/>
      <c r="B112" s="67"/>
    </row>
    <row r="113" spans="1:2" ht="15.75" customHeight="1" x14ac:dyDescent="0.45">
      <c r="A113" s="33"/>
      <c r="B113" s="67"/>
    </row>
    <row r="114" spans="1:2" ht="15.75" customHeight="1" x14ac:dyDescent="0.45">
      <c r="A114" s="33"/>
      <c r="B114" s="67"/>
    </row>
    <row r="115" spans="1:2" ht="15.75" customHeight="1" x14ac:dyDescent="0.45">
      <c r="A115" s="33"/>
      <c r="B115" s="67"/>
    </row>
    <row r="116" spans="1:2" ht="15.75" customHeight="1" x14ac:dyDescent="0.45">
      <c r="A116" s="33"/>
      <c r="B116" s="67"/>
    </row>
    <row r="117" spans="1:2" ht="15.75" customHeight="1" x14ac:dyDescent="0.45">
      <c r="A117" s="33"/>
      <c r="B117" s="67"/>
    </row>
    <row r="118" spans="1:2" ht="15.75" customHeight="1" x14ac:dyDescent="0.45">
      <c r="A118" s="33"/>
      <c r="B118" s="67"/>
    </row>
    <row r="119" spans="1:2" ht="15.75" customHeight="1" x14ac:dyDescent="0.45">
      <c r="A119" s="33"/>
      <c r="B119" s="67"/>
    </row>
    <row r="120" spans="1:2" ht="15.75" customHeight="1" x14ac:dyDescent="0.45">
      <c r="A120" s="33"/>
      <c r="B120" s="67"/>
    </row>
    <row r="121" spans="1:2" ht="15.75" customHeight="1" x14ac:dyDescent="0.45">
      <c r="A121" s="33"/>
      <c r="B121" s="67"/>
    </row>
    <row r="122" spans="1:2" ht="15.75" customHeight="1" x14ac:dyDescent="0.45">
      <c r="A122" s="33"/>
      <c r="B122" s="67"/>
    </row>
    <row r="123" spans="1:2" ht="15.75" customHeight="1" x14ac:dyDescent="0.45">
      <c r="A123" s="33"/>
      <c r="B123" s="67"/>
    </row>
    <row r="124" spans="1:2" ht="15.75" customHeight="1" x14ac:dyDescent="0.45">
      <c r="A124" s="33"/>
      <c r="B124" s="67"/>
    </row>
    <row r="125" spans="1:2" ht="15.75" customHeight="1" x14ac:dyDescent="0.45">
      <c r="A125" s="33"/>
      <c r="B125" s="67"/>
    </row>
    <row r="126" spans="1:2" ht="15.75" customHeight="1" x14ac:dyDescent="0.45">
      <c r="A126" s="33"/>
      <c r="B126" s="67"/>
    </row>
    <row r="127" spans="1:2" ht="15.75" customHeight="1" x14ac:dyDescent="0.45">
      <c r="A127" s="33"/>
      <c r="B127" s="67"/>
    </row>
    <row r="128" spans="1:2" ht="15.75" customHeight="1" x14ac:dyDescent="0.45">
      <c r="A128" s="33"/>
      <c r="B128" s="67"/>
    </row>
    <row r="129" spans="1:2" ht="15.75" customHeight="1" x14ac:dyDescent="0.45">
      <c r="A129" s="33"/>
      <c r="B129" s="67"/>
    </row>
    <row r="130" spans="1:2" ht="15.75" customHeight="1" x14ac:dyDescent="0.45">
      <c r="A130" s="33"/>
      <c r="B130" s="67"/>
    </row>
    <row r="131" spans="1:2" ht="15.75" customHeight="1" x14ac:dyDescent="0.45">
      <c r="A131" s="33"/>
      <c r="B131" s="67"/>
    </row>
    <row r="132" spans="1:2" ht="15.75" customHeight="1" x14ac:dyDescent="0.45">
      <c r="A132" s="33"/>
      <c r="B132" s="67"/>
    </row>
    <row r="133" spans="1:2" ht="15.75" customHeight="1" x14ac:dyDescent="0.45">
      <c r="A133" s="33"/>
      <c r="B133" s="67"/>
    </row>
    <row r="134" spans="1:2" ht="15.75" customHeight="1" x14ac:dyDescent="0.45">
      <c r="A134" s="33"/>
      <c r="B134" s="67"/>
    </row>
    <row r="135" spans="1:2" ht="15.75" customHeight="1" x14ac:dyDescent="0.45">
      <c r="A135" s="33"/>
      <c r="B135" s="67"/>
    </row>
    <row r="136" spans="1:2" ht="15.75" customHeight="1" x14ac:dyDescent="0.45">
      <c r="A136" s="33"/>
      <c r="B136" s="67"/>
    </row>
    <row r="137" spans="1:2" ht="15.75" customHeight="1" x14ac:dyDescent="0.45">
      <c r="A137" s="33"/>
      <c r="B137" s="67"/>
    </row>
    <row r="138" spans="1:2" ht="15.75" customHeight="1" x14ac:dyDescent="0.45">
      <c r="A138" s="33"/>
      <c r="B138" s="67"/>
    </row>
    <row r="139" spans="1:2" ht="15.75" customHeight="1" x14ac:dyDescent="0.45">
      <c r="A139" s="33"/>
      <c r="B139" s="67"/>
    </row>
    <row r="140" spans="1:2" ht="15.75" customHeight="1" x14ac:dyDescent="0.45">
      <c r="A140" s="33"/>
      <c r="B140" s="67"/>
    </row>
    <row r="141" spans="1:2" ht="15.75" customHeight="1" x14ac:dyDescent="0.45">
      <c r="A141" s="33"/>
      <c r="B141" s="67"/>
    </row>
    <row r="142" spans="1:2" ht="15.75" customHeight="1" x14ac:dyDescent="0.45">
      <c r="A142" s="33"/>
      <c r="B142" s="67"/>
    </row>
    <row r="143" spans="1:2" ht="15.75" customHeight="1" x14ac:dyDescent="0.45">
      <c r="A143" s="33"/>
      <c r="B143" s="67"/>
    </row>
    <row r="144" spans="1:2" ht="15.75" customHeight="1" x14ac:dyDescent="0.45">
      <c r="A144" s="33"/>
      <c r="B144" s="67"/>
    </row>
    <row r="145" spans="1:2" ht="15.75" customHeight="1" x14ac:dyDescent="0.45">
      <c r="A145" s="33"/>
      <c r="B145" s="67"/>
    </row>
    <row r="146" spans="1:2" ht="15.75" customHeight="1" x14ac:dyDescent="0.45">
      <c r="A146" s="33"/>
      <c r="B146" s="67"/>
    </row>
    <row r="147" spans="1:2" ht="15.75" customHeight="1" x14ac:dyDescent="0.45">
      <c r="A147" s="33"/>
      <c r="B147" s="67"/>
    </row>
    <row r="148" spans="1:2" ht="15.75" customHeight="1" x14ac:dyDescent="0.45">
      <c r="A148" s="33"/>
      <c r="B148" s="67"/>
    </row>
    <row r="149" spans="1:2" ht="15.75" customHeight="1" x14ac:dyDescent="0.45">
      <c r="A149" s="33"/>
      <c r="B149" s="67"/>
    </row>
    <row r="150" spans="1:2" ht="15.75" customHeight="1" x14ac:dyDescent="0.45">
      <c r="A150" s="33"/>
      <c r="B150" s="67"/>
    </row>
    <row r="151" spans="1:2" ht="15.75" customHeight="1" x14ac:dyDescent="0.45">
      <c r="A151" s="33"/>
      <c r="B151" s="67"/>
    </row>
    <row r="152" spans="1:2" ht="15.75" customHeight="1" x14ac:dyDescent="0.45">
      <c r="A152" s="33"/>
      <c r="B152" s="67"/>
    </row>
    <row r="153" spans="1:2" ht="15.75" customHeight="1" x14ac:dyDescent="0.45">
      <c r="A153" s="33"/>
      <c r="B153" s="67"/>
    </row>
    <row r="154" spans="1:2" ht="15.75" customHeight="1" x14ac:dyDescent="0.45">
      <c r="A154" s="33"/>
      <c r="B154" s="67"/>
    </row>
    <row r="155" spans="1:2" ht="15.75" customHeight="1" x14ac:dyDescent="0.45">
      <c r="A155" s="33"/>
      <c r="B155" s="67"/>
    </row>
    <row r="156" spans="1:2" ht="15.75" customHeight="1" x14ac:dyDescent="0.45">
      <c r="A156" s="33"/>
      <c r="B156" s="67"/>
    </row>
    <row r="157" spans="1:2" ht="15.75" customHeight="1" x14ac:dyDescent="0.45">
      <c r="A157" s="33"/>
      <c r="B157" s="67"/>
    </row>
    <row r="158" spans="1:2" ht="15.75" customHeight="1" x14ac:dyDescent="0.45">
      <c r="A158" s="33"/>
      <c r="B158" s="67"/>
    </row>
    <row r="159" spans="1:2" ht="15.75" customHeight="1" x14ac:dyDescent="0.45">
      <c r="A159" s="33"/>
      <c r="B159" s="67"/>
    </row>
    <row r="160" spans="1:2" ht="15.75" customHeight="1" x14ac:dyDescent="0.45">
      <c r="A160" s="33"/>
      <c r="B160" s="67"/>
    </row>
    <row r="161" spans="1:2" ht="15.75" customHeight="1" x14ac:dyDescent="0.45">
      <c r="A161" s="33"/>
      <c r="B161" s="67"/>
    </row>
    <row r="162" spans="1:2" ht="15.75" customHeight="1" x14ac:dyDescent="0.45">
      <c r="A162" s="33"/>
      <c r="B162" s="67"/>
    </row>
    <row r="163" spans="1:2" ht="15.75" customHeight="1" x14ac:dyDescent="0.45">
      <c r="A163" s="33"/>
      <c r="B163" s="67"/>
    </row>
    <row r="164" spans="1:2" ht="15.75" customHeight="1" x14ac:dyDescent="0.45">
      <c r="A164" s="33"/>
      <c r="B164" s="67"/>
    </row>
    <row r="165" spans="1:2" ht="15.75" customHeight="1" x14ac:dyDescent="0.45">
      <c r="A165" s="33"/>
      <c r="B165" s="67"/>
    </row>
    <row r="166" spans="1:2" ht="15.75" customHeight="1" x14ac:dyDescent="0.45">
      <c r="A166" s="33"/>
      <c r="B166" s="67"/>
    </row>
    <row r="167" spans="1:2" ht="15.75" customHeight="1" x14ac:dyDescent="0.45">
      <c r="A167" s="33"/>
      <c r="B167" s="67"/>
    </row>
    <row r="168" spans="1:2" ht="15.75" customHeight="1" x14ac:dyDescent="0.45">
      <c r="A168" s="33"/>
      <c r="B168" s="67"/>
    </row>
    <row r="169" spans="1:2" ht="15.75" customHeight="1" x14ac:dyDescent="0.45">
      <c r="A169" s="33"/>
      <c r="B169" s="67"/>
    </row>
    <row r="170" spans="1:2" ht="15.75" customHeight="1" x14ac:dyDescent="0.45">
      <c r="A170" s="33"/>
      <c r="B170" s="67"/>
    </row>
    <row r="171" spans="1:2" ht="15.75" customHeight="1" x14ac:dyDescent="0.45">
      <c r="A171" s="33"/>
      <c r="B171" s="67"/>
    </row>
    <row r="172" spans="1:2" ht="15.75" customHeight="1" x14ac:dyDescent="0.45">
      <c r="A172" s="33"/>
      <c r="B172" s="67"/>
    </row>
    <row r="173" spans="1:2" ht="15.75" customHeight="1" x14ac:dyDescent="0.45">
      <c r="A173" s="33"/>
      <c r="B173" s="67"/>
    </row>
    <row r="174" spans="1:2" ht="15.75" customHeight="1" x14ac:dyDescent="0.45">
      <c r="A174" s="33"/>
      <c r="B174" s="67"/>
    </row>
    <row r="175" spans="1:2" ht="15.75" customHeight="1" x14ac:dyDescent="0.45">
      <c r="A175" s="33"/>
      <c r="B175" s="67"/>
    </row>
    <row r="176" spans="1:2" ht="15.75" customHeight="1" x14ac:dyDescent="0.45">
      <c r="A176" s="33"/>
      <c r="B176" s="67"/>
    </row>
    <row r="177" spans="1:2" ht="15.75" customHeight="1" x14ac:dyDescent="0.45">
      <c r="A177" s="33"/>
      <c r="B177" s="67"/>
    </row>
    <row r="178" spans="1:2" ht="15.75" customHeight="1" x14ac:dyDescent="0.45">
      <c r="A178" s="33"/>
      <c r="B178" s="67"/>
    </row>
    <row r="179" spans="1:2" ht="15.75" customHeight="1" x14ac:dyDescent="0.45">
      <c r="A179" s="33"/>
      <c r="B179" s="67"/>
    </row>
    <row r="180" spans="1:2" ht="15.75" customHeight="1" x14ac:dyDescent="0.45">
      <c r="A180" s="33"/>
      <c r="B180" s="67"/>
    </row>
    <row r="181" spans="1:2" ht="15.75" customHeight="1" x14ac:dyDescent="0.45">
      <c r="A181" s="33"/>
      <c r="B181" s="67"/>
    </row>
    <row r="182" spans="1:2" ht="15.75" customHeight="1" x14ac:dyDescent="0.45">
      <c r="A182" s="33"/>
      <c r="B182" s="67"/>
    </row>
    <row r="183" spans="1:2" ht="15.75" customHeight="1" x14ac:dyDescent="0.45">
      <c r="A183" s="33"/>
      <c r="B183" s="67"/>
    </row>
    <row r="184" spans="1:2" ht="15.75" customHeight="1" x14ac:dyDescent="0.45">
      <c r="A184" s="33"/>
      <c r="B184" s="67"/>
    </row>
    <row r="185" spans="1:2" ht="15.75" customHeight="1" x14ac:dyDescent="0.45">
      <c r="A185" s="33"/>
      <c r="B185" s="67"/>
    </row>
    <row r="186" spans="1:2" ht="15.75" customHeight="1" x14ac:dyDescent="0.45">
      <c r="A186" s="33"/>
      <c r="B186" s="67"/>
    </row>
    <row r="187" spans="1:2" ht="15.75" customHeight="1" x14ac:dyDescent="0.45">
      <c r="A187" s="33"/>
      <c r="B187" s="67"/>
    </row>
    <row r="188" spans="1:2" ht="15.75" customHeight="1" x14ac:dyDescent="0.45">
      <c r="A188" s="33"/>
      <c r="B188" s="67"/>
    </row>
    <row r="189" spans="1:2" ht="15.75" customHeight="1" x14ac:dyDescent="0.45">
      <c r="A189" s="33"/>
      <c r="B189" s="67"/>
    </row>
    <row r="190" spans="1:2" ht="15.75" customHeight="1" x14ac:dyDescent="0.45">
      <c r="A190" s="33"/>
      <c r="B190" s="67"/>
    </row>
    <row r="191" spans="1:2" ht="15.75" customHeight="1" x14ac:dyDescent="0.45">
      <c r="A191" s="33"/>
      <c r="B191" s="67"/>
    </row>
    <row r="192" spans="1:2" ht="15.75" customHeight="1" x14ac:dyDescent="0.45">
      <c r="A192" s="33"/>
      <c r="B192" s="67"/>
    </row>
    <row r="193" spans="1:2" ht="15.75" customHeight="1" x14ac:dyDescent="0.45">
      <c r="A193" s="33"/>
      <c r="B193" s="67"/>
    </row>
    <row r="194" spans="1:2" ht="15.75" customHeight="1" x14ac:dyDescent="0.45">
      <c r="A194" s="33"/>
      <c r="B194" s="67"/>
    </row>
    <row r="195" spans="1:2" ht="15.75" customHeight="1" x14ac:dyDescent="0.45">
      <c r="A195" s="33"/>
      <c r="B195" s="67"/>
    </row>
    <row r="196" spans="1:2" ht="15.75" customHeight="1" x14ac:dyDescent="0.45">
      <c r="A196" s="33"/>
      <c r="B196" s="67"/>
    </row>
    <row r="197" spans="1:2" ht="15.75" customHeight="1" x14ac:dyDescent="0.45">
      <c r="A197" s="33"/>
      <c r="B197" s="67"/>
    </row>
    <row r="198" spans="1:2" ht="15.75" customHeight="1" x14ac:dyDescent="0.45">
      <c r="A198" s="33"/>
      <c r="B198" s="67"/>
    </row>
    <row r="199" spans="1:2" ht="15.75" customHeight="1" x14ac:dyDescent="0.45">
      <c r="A199" s="33"/>
      <c r="B199" s="67"/>
    </row>
    <row r="200" spans="1:2" ht="15.75" customHeight="1" x14ac:dyDescent="0.45">
      <c r="A200" s="33"/>
      <c r="B200" s="67"/>
    </row>
    <row r="201" spans="1:2" ht="15.75" customHeight="1" x14ac:dyDescent="0.45">
      <c r="A201" s="33"/>
      <c r="B201" s="67"/>
    </row>
    <row r="202" spans="1:2" ht="15.75" customHeight="1" x14ac:dyDescent="0.45">
      <c r="A202" s="33"/>
      <c r="B202" s="67"/>
    </row>
    <row r="203" spans="1:2" ht="15.75" customHeight="1" x14ac:dyDescent="0.45">
      <c r="A203" s="33"/>
      <c r="B203" s="67"/>
    </row>
    <row r="204" spans="1:2" ht="15.75" customHeight="1" x14ac:dyDescent="0.45">
      <c r="A204" s="33"/>
      <c r="B204" s="67"/>
    </row>
    <row r="205" spans="1:2" ht="15.75" customHeight="1" x14ac:dyDescent="0.45">
      <c r="A205" s="33"/>
      <c r="B205" s="67"/>
    </row>
    <row r="206" spans="1:2" ht="15.75" customHeight="1" x14ac:dyDescent="0.45">
      <c r="A206" s="33"/>
      <c r="B206" s="67"/>
    </row>
    <row r="207" spans="1:2" ht="15.75" customHeight="1" x14ac:dyDescent="0.45">
      <c r="A207" s="33"/>
      <c r="B207" s="67"/>
    </row>
    <row r="208" spans="1:2" ht="15.75" customHeight="1" x14ac:dyDescent="0.45">
      <c r="A208" s="33"/>
      <c r="B208" s="67"/>
    </row>
    <row r="209" spans="1:2" ht="15.75" customHeight="1" x14ac:dyDescent="0.45">
      <c r="A209" s="33"/>
      <c r="B209" s="67"/>
    </row>
    <row r="210" spans="1:2" ht="15.75" customHeight="1" x14ac:dyDescent="0.45">
      <c r="A210" s="33"/>
      <c r="B210" s="67"/>
    </row>
    <row r="211" spans="1:2" ht="15.75" customHeight="1" x14ac:dyDescent="0.45">
      <c r="A211" s="33"/>
      <c r="B211" s="67"/>
    </row>
    <row r="212" spans="1:2" ht="15.75" customHeight="1" x14ac:dyDescent="0.45">
      <c r="A212" s="33"/>
      <c r="B212" s="67"/>
    </row>
    <row r="213" spans="1:2" ht="15.75" customHeight="1" x14ac:dyDescent="0.45">
      <c r="A213" s="33"/>
      <c r="B213" s="67"/>
    </row>
    <row r="214" spans="1:2" ht="15.75" customHeight="1" x14ac:dyDescent="0.45">
      <c r="A214" s="33"/>
      <c r="B214" s="67"/>
    </row>
    <row r="215" spans="1:2" ht="15.75" customHeight="1" x14ac:dyDescent="0.45">
      <c r="A215" s="33"/>
      <c r="B215" s="67"/>
    </row>
    <row r="216" spans="1:2" ht="15.75" customHeight="1" x14ac:dyDescent="0.45">
      <c r="A216" s="33"/>
      <c r="B216" s="67"/>
    </row>
    <row r="217" spans="1:2" ht="15.75" customHeight="1" x14ac:dyDescent="0.45">
      <c r="A217" s="33"/>
      <c r="B217" s="67"/>
    </row>
    <row r="218" spans="1:2" ht="15.75" customHeight="1" x14ac:dyDescent="0.45">
      <c r="A218" s="33"/>
      <c r="B218" s="67"/>
    </row>
    <row r="219" spans="1:2" ht="15.75" customHeight="1" x14ac:dyDescent="0.45">
      <c r="A219" s="33"/>
      <c r="B219" s="67"/>
    </row>
    <row r="220" spans="1:2" ht="15.75" customHeight="1" x14ac:dyDescent="0.45">
      <c r="A220" s="33"/>
      <c r="B220" s="67"/>
    </row>
    <row r="221" spans="1:2" ht="15.75" customHeight="1" x14ac:dyDescent="0.45">
      <c r="A221" s="33"/>
      <c r="B221" s="67"/>
    </row>
    <row r="222" spans="1:2" ht="15.75" customHeight="1" x14ac:dyDescent="0.45">
      <c r="A222" s="33"/>
      <c r="B222" s="67"/>
    </row>
    <row r="223" spans="1:2" ht="15.75" customHeight="1" x14ac:dyDescent="0.45">
      <c r="A223" s="33"/>
      <c r="B223" s="67"/>
    </row>
    <row r="224" spans="1:2" ht="15.75" customHeight="1" x14ac:dyDescent="0.45">
      <c r="A224" s="33"/>
      <c r="B224" s="67"/>
    </row>
    <row r="225" spans="1:2" ht="15.75" customHeight="1" x14ac:dyDescent="0.45">
      <c r="A225" s="33"/>
      <c r="B225" s="67"/>
    </row>
    <row r="226" spans="1:2" ht="15.75" customHeight="1" x14ac:dyDescent="0.45">
      <c r="A226" s="33"/>
      <c r="B226" s="67"/>
    </row>
    <row r="227" spans="1:2" ht="15.75" customHeight="1" x14ac:dyDescent="0.45">
      <c r="A227" s="33"/>
      <c r="B227" s="67"/>
    </row>
    <row r="228" spans="1:2" ht="15.75" customHeight="1" x14ac:dyDescent="0.45">
      <c r="A228" s="33"/>
      <c r="B228" s="67"/>
    </row>
    <row r="229" spans="1:2" ht="15.75" customHeight="1" x14ac:dyDescent="0.45">
      <c r="A229" s="33"/>
      <c r="B229" s="67"/>
    </row>
    <row r="230" spans="1:2" ht="15.75" customHeight="1" x14ac:dyDescent="0.45">
      <c r="A230" s="33"/>
      <c r="B230" s="67"/>
    </row>
    <row r="231" spans="1:2" ht="15.75" customHeight="1" x14ac:dyDescent="0.45">
      <c r="A231" s="33"/>
      <c r="B231" s="67"/>
    </row>
    <row r="232" spans="1:2" ht="15.75" customHeight="1" x14ac:dyDescent="0.45">
      <c r="A232" s="33"/>
      <c r="B232" s="67"/>
    </row>
    <row r="233" spans="1:2" ht="15.75" customHeight="1" x14ac:dyDescent="0.45">
      <c r="A233" s="33"/>
      <c r="B233" s="67"/>
    </row>
    <row r="234" spans="1:2" ht="15.75" customHeight="1" x14ac:dyDescent="0.45">
      <c r="A234" s="33"/>
      <c r="B234" s="67"/>
    </row>
    <row r="235" spans="1:2" ht="15.75" customHeight="1" x14ac:dyDescent="0.45">
      <c r="A235" s="33"/>
      <c r="B235" s="67"/>
    </row>
    <row r="236" spans="1:2" ht="15.75" customHeight="1" x14ac:dyDescent="0.45">
      <c r="A236" s="33"/>
      <c r="B236" s="67"/>
    </row>
    <row r="237" spans="1:2" ht="15.75" customHeight="1" x14ac:dyDescent="0.45">
      <c r="A237" s="33"/>
      <c r="B237" s="67"/>
    </row>
    <row r="238" spans="1:2" ht="15.75" customHeight="1" x14ac:dyDescent="0.45">
      <c r="A238" s="33"/>
      <c r="B238" s="67"/>
    </row>
    <row r="239" spans="1:2" ht="15.75" customHeight="1" x14ac:dyDescent="0.45">
      <c r="A239" s="33"/>
      <c r="B239" s="67"/>
    </row>
    <row r="240" spans="1:2" ht="15.75" customHeight="1" x14ac:dyDescent="0.45">
      <c r="A240" s="33"/>
      <c r="B240" s="67"/>
    </row>
    <row r="241" spans="1:2" ht="15.75" customHeight="1" x14ac:dyDescent="0.45">
      <c r="A241" s="33"/>
      <c r="B241" s="67"/>
    </row>
    <row r="242" spans="1:2" ht="15.75" customHeight="1" x14ac:dyDescent="0.45">
      <c r="A242" s="33"/>
      <c r="B242" s="67"/>
    </row>
    <row r="243" spans="1:2" ht="15.75" customHeight="1" x14ac:dyDescent="0.45">
      <c r="A243" s="33"/>
      <c r="B243" s="67"/>
    </row>
    <row r="244" spans="1:2" ht="15.75" customHeight="1" x14ac:dyDescent="0.45">
      <c r="A244" s="33"/>
      <c r="B244" s="67"/>
    </row>
    <row r="245" spans="1:2" ht="15.75" customHeight="1" x14ac:dyDescent="0.45">
      <c r="A245" s="33"/>
      <c r="B245" s="67"/>
    </row>
    <row r="246" spans="1:2" ht="15.75" customHeight="1" x14ac:dyDescent="0.45">
      <c r="A246" s="33"/>
      <c r="B246" s="67"/>
    </row>
    <row r="247" spans="1:2" ht="15.75" customHeight="1" x14ac:dyDescent="0.45">
      <c r="A247" s="33"/>
      <c r="B247" s="67"/>
    </row>
    <row r="248" spans="1:2" ht="15.75" customHeight="1" x14ac:dyDescent="0.45">
      <c r="A248" s="33"/>
      <c r="B248" s="67"/>
    </row>
    <row r="249" spans="1:2" ht="15.75" customHeight="1" x14ac:dyDescent="0.45">
      <c r="A249" s="33"/>
      <c r="B249" s="67"/>
    </row>
    <row r="250" spans="1:2" ht="15.75" customHeight="1" x14ac:dyDescent="0.45">
      <c r="A250" s="33"/>
      <c r="B250" s="67"/>
    </row>
    <row r="251" spans="1:2" ht="15.75" customHeight="1" x14ac:dyDescent="0.45">
      <c r="A251" s="33"/>
      <c r="B251" s="67"/>
    </row>
    <row r="252" spans="1:2" ht="15.75" customHeight="1" x14ac:dyDescent="0.45">
      <c r="A252" s="33"/>
      <c r="B252" s="67"/>
    </row>
    <row r="253" spans="1:2" ht="15.75" customHeight="1" x14ac:dyDescent="0.45">
      <c r="A253" s="33"/>
      <c r="B253" s="67"/>
    </row>
    <row r="254" spans="1:2" ht="15.75" customHeight="1" x14ac:dyDescent="0.45">
      <c r="A254" s="33"/>
      <c r="B254" s="67"/>
    </row>
    <row r="255" spans="1:2" ht="15.75" customHeight="1" x14ac:dyDescent="0.45">
      <c r="A255" s="33"/>
      <c r="B255" s="67"/>
    </row>
    <row r="256" spans="1:2" ht="15.75" customHeight="1" x14ac:dyDescent="0.45">
      <c r="A256" s="33"/>
      <c r="B256" s="67"/>
    </row>
    <row r="257" spans="1:2" ht="15.75" customHeight="1" x14ac:dyDescent="0.45">
      <c r="A257" s="33"/>
      <c r="B257" s="67"/>
    </row>
    <row r="258" spans="1:2" ht="15.75" customHeight="1" x14ac:dyDescent="0.45">
      <c r="A258" s="33"/>
      <c r="B258" s="67"/>
    </row>
    <row r="259" spans="1:2" ht="15.75" customHeight="1" x14ac:dyDescent="0.45">
      <c r="A259" s="33"/>
      <c r="B259" s="67"/>
    </row>
    <row r="260" spans="1:2" ht="15.75" customHeight="1" x14ac:dyDescent="0.45">
      <c r="A260" s="33"/>
      <c r="B260" s="67"/>
    </row>
    <row r="261" spans="1:2" ht="15.75" customHeight="1" x14ac:dyDescent="0.45">
      <c r="A261" s="33"/>
      <c r="B261" s="67"/>
    </row>
    <row r="262" spans="1:2" ht="15.75" customHeight="1" x14ac:dyDescent="0.45">
      <c r="A262" s="33"/>
      <c r="B262" s="67"/>
    </row>
    <row r="263" spans="1:2" ht="15.75" customHeight="1" x14ac:dyDescent="0.45">
      <c r="A263" s="33"/>
      <c r="B263" s="67"/>
    </row>
    <row r="264" spans="1:2" ht="15.75" customHeight="1" x14ac:dyDescent="0.45">
      <c r="A264" s="33"/>
      <c r="B264" s="67"/>
    </row>
    <row r="265" spans="1:2" ht="15.75" customHeight="1" x14ac:dyDescent="0.45">
      <c r="A265" s="33"/>
      <c r="B265" s="67"/>
    </row>
    <row r="266" spans="1:2" ht="15.75" customHeight="1" x14ac:dyDescent="0.45">
      <c r="A266" s="33"/>
      <c r="B266" s="67"/>
    </row>
    <row r="267" spans="1:2" ht="15.75" customHeight="1" x14ac:dyDescent="0.45">
      <c r="A267" s="33"/>
      <c r="B267" s="67"/>
    </row>
    <row r="268" spans="1:2" ht="15.75" customHeight="1" x14ac:dyDescent="0.45">
      <c r="A268" s="33"/>
      <c r="B268" s="67"/>
    </row>
    <row r="269" spans="1:2" ht="15.75" customHeight="1" x14ac:dyDescent="0.45">
      <c r="A269" s="33"/>
      <c r="B269" s="67"/>
    </row>
    <row r="270" spans="1:2" ht="15.75" customHeight="1" x14ac:dyDescent="0.45">
      <c r="A270" s="33"/>
      <c r="B270" s="67"/>
    </row>
    <row r="271" spans="1:2" ht="15.75" customHeight="1" x14ac:dyDescent="0.45">
      <c r="A271" s="33"/>
      <c r="B271" s="67"/>
    </row>
    <row r="272" spans="1:2" ht="15.75" customHeight="1" x14ac:dyDescent="0.45">
      <c r="A272" s="33"/>
      <c r="B272" s="67"/>
    </row>
    <row r="273" spans="1:2" ht="15.75" customHeight="1" x14ac:dyDescent="0.45">
      <c r="A273" s="33"/>
      <c r="B273" s="67"/>
    </row>
    <row r="274" spans="1:2" ht="15.75" customHeight="1" x14ac:dyDescent="0.45">
      <c r="A274" s="33"/>
      <c r="B274" s="67"/>
    </row>
    <row r="275" spans="1:2" ht="15.75" customHeight="1" x14ac:dyDescent="0.45">
      <c r="A275" s="33"/>
      <c r="B275" s="67"/>
    </row>
    <row r="276" spans="1:2" ht="15.75" customHeight="1" x14ac:dyDescent="0.45">
      <c r="A276" s="33"/>
      <c r="B276" s="67"/>
    </row>
    <row r="277" spans="1:2" ht="15.75" customHeight="1" x14ac:dyDescent="0.45">
      <c r="A277" s="33"/>
      <c r="B277" s="67"/>
    </row>
    <row r="278" spans="1:2" ht="15.75" customHeight="1" x14ac:dyDescent="0.45">
      <c r="A278" s="33"/>
      <c r="B278" s="67"/>
    </row>
    <row r="279" spans="1:2" ht="15.75" customHeight="1" x14ac:dyDescent="0.45">
      <c r="A279" s="33"/>
      <c r="B279" s="67"/>
    </row>
    <row r="280" spans="1:2" ht="15.75" customHeight="1" x14ac:dyDescent="0.45">
      <c r="A280" s="33"/>
      <c r="B280" s="67"/>
    </row>
    <row r="281" spans="1:2" ht="15.75" customHeight="1" x14ac:dyDescent="0.45">
      <c r="A281" s="33"/>
      <c r="B281" s="67"/>
    </row>
    <row r="282" spans="1:2" ht="15.75" customHeight="1" x14ac:dyDescent="0.45">
      <c r="A282" s="33"/>
      <c r="B282" s="67"/>
    </row>
    <row r="283" spans="1:2" ht="15.75" customHeight="1" x14ac:dyDescent="0.45">
      <c r="A283" s="33"/>
      <c r="B283" s="67"/>
    </row>
    <row r="284" spans="1:2" ht="15.75" customHeight="1" x14ac:dyDescent="0.45">
      <c r="A284" s="33"/>
      <c r="B284" s="67"/>
    </row>
    <row r="285" spans="1:2" ht="15.75" customHeight="1" x14ac:dyDescent="0.45">
      <c r="A285" s="33"/>
      <c r="B285" s="67"/>
    </row>
    <row r="286" spans="1:2" ht="15.75" customHeight="1" x14ac:dyDescent="0.45">
      <c r="A286" s="33"/>
      <c r="B286" s="67"/>
    </row>
    <row r="287" spans="1:2" ht="15.75" customHeight="1" x14ac:dyDescent="0.45">
      <c r="A287" s="33"/>
      <c r="B287" s="67"/>
    </row>
    <row r="288" spans="1:2" ht="15.75" customHeight="1" x14ac:dyDescent="0.45">
      <c r="A288" s="33"/>
      <c r="B288" s="67"/>
    </row>
    <row r="289" spans="1:2" ht="15.75" customHeight="1" x14ac:dyDescent="0.45">
      <c r="A289" s="33"/>
      <c r="B289" s="67"/>
    </row>
    <row r="290" spans="1:2" ht="15.75" customHeight="1" x14ac:dyDescent="0.45">
      <c r="A290" s="33"/>
      <c r="B290" s="67"/>
    </row>
    <row r="291" spans="1:2" ht="15.75" customHeight="1" x14ac:dyDescent="0.45">
      <c r="A291" s="33"/>
      <c r="B291" s="67"/>
    </row>
    <row r="292" spans="1:2" ht="15.75" customHeight="1" x14ac:dyDescent="0.45">
      <c r="A292" s="33"/>
      <c r="B292" s="67"/>
    </row>
    <row r="293" spans="1:2" ht="15.75" customHeight="1" x14ac:dyDescent="0.45">
      <c r="A293" s="33"/>
      <c r="B293" s="67"/>
    </row>
    <row r="294" spans="1:2" ht="15.75" customHeight="1" x14ac:dyDescent="0.45">
      <c r="A294" s="33"/>
      <c r="B294" s="67"/>
    </row>
    <row r="295" spans="1:2" ht="15.75" customHeight="1" x14ac:dyDescent="0.45">
      <c r="A295" s="33"/>
      <c r="B295" s="67"/>
    </row>
    <row r="296" spans="1:2" ht="15.75" customHeight="1" x14ac:dyDescent="0.45">
      <c r="A296" s="33"/>
      <c r="B296" s="67"/>
    </row>
    <row r="297" spans="1:2" ht="15.75" customHeight="1" x14ac:dyDescent="0.45">
      <c r="A297" s="33"/>
      <c r="B297" s="67"/>
    </row>
    <row r="298" spans="1:2" ht="15.75" customHeight="1" x14ac:dyDescent="0.45">
      <c r="A298" s="33"/>
      <c r="B298" s="67"/>
    </row>
    <row r="299" spans="1:2" ht="15.75" customHeight="1" x14ac:dyDescent="0.45">
      <c r="A299" s="33"/>
      <c r="B299" s="67"/>
    </row>
    <row r="300" spans="1:2" ht="15.75" customHeight="1" x14ac:dyDescent="0.45">
      <c r="A300" s="33"/>
      <c r="B300" s="67"/>
    </row>
    <row r="301" spans="1:2" ht="15.75" customHeight="1" x14ac:dyDescent="0.45">
      <c r="A301" s="33"/>
      <c r="B301" s="67"/>
    </row>
    <row r="302" spans="1:2" ht="15.75" customHeight="1" x14ac:dyDescent="0.45">
      <c r="A302" s="33"/>
      <c r="B302" s="67"/>
    </row>
    <row r="303" spans="1:2" ht="15.75" customHeight="1" x14ac:dyDescent="0.45">
      <c r="A303" s="33"/>
      <c r="B303" s="67"/>
    </row>
    <row r="304" spans="1:2" ht="15.75" customHeight="1" x14ac:dyDescent="0.45">
      <c r="A304" s="33"/>
      <c r="B304" s="67"/>
    </row>
    <row r="305" spans="1:2" ht="15.75" customHeight="1" x14ac:dyDescent="0.45">
      <c r="A305" s="33"/>
      <c r="B305" s="67"/>
    </row>
    <row r="306" spans="1:2" ht="15.75" customHeight="1" x14ac:dyDescent="0.45">
      <c r="A306" s="33"/>
      <c r="B306" s="67"/>
    </row>
    <row r="307" spans="1:2" ht="15.75" customHeight="1" x14ac:dyDescent="0.45">
      <c r="A307" s="33"/>
      <c r="B307" s="67"/>
    </row>
    <row r="308" spans="1:2" ht="15.75" customHeight="1" x14ac:dyDescent="0.45">
      <c r="A308" s="33"/>
      <c r="B308" s="67"/>
    </row>
    <row r="309" spans="1:2" ht="15.75" customHeight="1" x14ac:dyDescent="0.45">
      <c r="A309" s="33"/>
      <c r="B309" s="67"/>
    </row>
    <row r="310" spans="1:2" ht="15.75" customHeight="1" x14ac:dyDescent="0.45">
      <c r="A310" s="33"/>
      <c r="B310" s="67"/>
    </row>
    <row r="311" spans="1:2" ht="15.75" customHeight="1" x14ac:dyDescent="0.45">
      <c r="A311" s="33"/>
      <c r="B311" s="67"/>
    </row>
    <row r="312" spans="1:2" ht="15.75" customHeight="1" x14ac:dyDescent="0.45">
      <c r="A312" s="33"/>
      <c r="B312" s="67"/>
    </row>
    <row r="313" spans="1:2" ht="15.75" customHeight="1" x14ac:dyDescent="0.45">
      <c r="A313" s="33"/>
      <c r="B313" s="67"/>
    </row>
    <row r="314" spans="1:2" ht="15.75" customHeight="1" x14ac:dyDescent="0.45">
      <c r="A314" s="33"/>
      <c r="B314" s="67"/>
    </row>
    <row r="315" spans="1:2" ht="15.75" customHeight="1" x14ac:dyDescent="0.45">
      <c r="A315" s="33"/>
      <c r="B315" s="67"/>
    </row>
    <row r="316" spans="1:2" ht="15.75" customHeight="1" x14ac:dyDescent="0.45">
      <c r="A316" s="33"/>
      <c r="B316" s="67"/>
    </row>
    <row r="317" spans="1:2" ht="15.75" customHeight="1" x14ac:dyDescent="0.45">
      <c r="A317" s="33"/>
      <c r="B317" s="67"/>
    </row>
    <row r="318" spans="1:2" ht="15.75" customHeight="1" x14ac:dyDescent="0.45">
      <c r="A318" s="33"/>
      <c r="B318" s="67"/>
    </row>
    <row r="319" spans="1:2" ht="15.75" customHeight="1" x14ac:dyDescent="0.45">
      <c r="A319" s="33"/>
      <c r="B319" s="67"/>
    </row>
    <row r="320" spans="1:2" ht="15.75" customHeight="1" x14ac:dyDescent="0.45">
      <c r="A320" s="33"/>
      <c r="B320" s="67"/>
    </row>
    <row r="321" spans="1:2" ht="15.75" customHeight="1" x14ac:dyDescent="0.45">
      <c r="A321" s="33"/>
      <c r="B321" s="67"/>
    </row>
    <row r="322" spans="1:2" ht="15.75" customHeight="1" x14ac:dyDescent="0.45">
      <c r="A322" s="33"/>
      <c r="B322" s="67"/>
    </row>
    <row r="323" spans="1:2" ht="15.75" customHeight="1" x14ac:dyDescent="0.45">
      <c r="A323" s="33"/>
      <c r="B323" s="67"/>
    </row>
    <row r="324" spans="1:2" ht="15.75" customHeight="1" x14ac:dyDescent="0.45">
      <c r="A324" s="33"/>
      <c r="B324" s="67"/>
    </row>
    <row r="325" spans="1:2" ht="15.75" customHeight="1" x14ac:dyDescent="0.45">
      <c r="A325" s="33"/>
      <c r="B325" s="67"/>
    </row>
    <row r="326" spans="1:2" ht="15.75" customHeight="1" x14ac:dyDescent="0.45">
      <c r="A326" s="33"/>
      <c r="B326" s="67"/>
    </row>
    <row r="327" spans="1:2" ht="15.75" customHeight="1" x14ac:dyDescent="0.45">
      <c r="A327" s="33"/>
      <c r="B327" s="67"/>
    </row>
    <row r="328" spans="1:2" ht="15.75" customHeight="1" x14ac:dyDescent="0.45">
      <c r="A328" s="33"/>
      <c r="B328" s="67"/>
    </row>
    <row r="329" spans="1:2" ht="15.75" customHeight="1" x14ac:dyDescent="0.45">
      <c r="A329" s="33"/>
      <c r="B329" s="67"/>
    </row>
    <row r="330" spans="1:2" ht="15.75" customHeight="1" x14ac:dyDescent="0.45">
      <c r="A330" s="33"/>
      <c r="B330" s="67"/>
    </row>
    <row r="331" spans="1:2" ht="15.75" customHeight="1" x14ac:dyDescent="0.45">
      <c r="A331" s="33"/>
      <c r="B331" s="67"/>
    </row>
    <row r="332" spans="1:2" ht="15.75" customHeight="1" x14ac:dyDescent="0.45">
      <c r="A332" s="33"/>
      <c r="B332" s="67"/>
    </row>
    <row r="333" spans="1:2" ht="15.75" customHeight="1" x14ac:dyDescent="0.45">
      <c r="A333" s="33"/>
      <c r="B333" s="67"/>
    </row>
    <row r="334" spans="1:2" ht="15.75" customHeight="1" x14ac:dyDescent="0.45">
      <c r="A334" s="33"/>
      <c r="B334" s="67"/>
    </row>
    <row r="335" spans="1:2" ht="15.75" customHeight="1" x14ac:dyDescent="0.45">
      <c r="A335" s="33"/>
      <c r="B335" s="67"/>
    </row>
    <row r="336" spans="1:2" ht="15.75" customHeight="1" x14ac:dyDescent="0.45">
      <c r="A336" s="33"/>
      <c r="B336" s="67"/>
    </row>
    <row r="337" spans="1:2" ht="15.75" customHeight="1" x14ac:dyDescent="0.45">
      <c r="A337" s="33"/>
      <c r="B337" s="67"/>
    </row>
    <row r="338" spans="1:2" ht="15.75" customHeight="1" x14ac:dyDescent="0.45">
      <c r="A338" s="33"/>
      <c r="B338" s="67"/>
    </row>
    <row r="339" spans="1:2" ht="15.75" customHeight="1" x14ac:dyDescent="0.45">
      <c r="A339" s="33"/>
      <c r="B339" s="67"/>
    </row>
    <row r="340" spans="1:2" ht="15.75" customHeight="1" x14ac:dyDescent="0.45">
      <c r="A340" s="33"/>
      <c r="B340" s="67"/>
    </row>
    <row r="341" spans="1:2" ht="15.75" customHeight="1" x14ac:dyDescent="0.45">
      <c r="A341" s="33"/>
      <c r="B341" s="67"/>
    </row>
    <row r="342" spans="1:2" ht="15.75" customHeight="1" x14ac:dyDescent="0.45">
      <c r="A342" s="33"/>
      <c r="B342" s="67"/>
    </row>
    <row r="343" spans="1:2" ht="15.75" customHeight="1" x14ac:dyDescent="0.45">
      <c r="A343" s="33"/>
      <c r="B343" s="67"/>
    </row>
    <row r="344" spans="1:2" ht="15.75" customHeight="1" x14ac:dyDescent="0.45">
      <c r="A344" s="33"/>
      <c r="B344" s="67"/>
    </row>
    <row r="345" spans="1:2" ht="15.75" customHeight="1" x14ac:dyDescent="0.45">
      <c r="A345" s="33"/>
      <c r="B345" s="67"/>
    </row>
    <row r="346" spans="1:2" ht="15.75" customHeight="1" x14ac:dyDescent="0.45">
      <c r="A346" s="33"/>
      <c r="B346" s="67"/>
    </row>
    <row r="347" spans="1:2" ht="15.75" customHeight="1" x14ac:dyDescent="0.45">
      <c r="A347" s="33"/>
      <c r="B347" s="67"/>
    </row>
    <row r="348" spans="1:2" ht="15.75" customHeight="1" x14ac:dyDescent="0.45">
      <c r="A348" s="33"/>
      <c r="B348" s="67"/>
    </row>
    <row r="349" spans="1:2" ht="15.75" customHeight="1" x14ac:dyDescent="0.45">
      <c r="A349" s="33"/>
      <c r="B349" s="67"/>
    </row>
    <row r="350" spans="1:2" ht="15.75" customHeight="1" x14ac:dyDescent="0.45">
      <c r="A350" s="33"/>
      <c r="B350" s="67"/>
    </row>
    <row r="351" spans="1:2" ht="15.75" customHeight="1" x14ac:dyDescent="0.45">
      <c r="A351" s="33"/>
      <c r="B351" s="67"/>
    </row>
    <row r="352" spans="1:2" ht="15.75" customHeight="1" x14ac:dyDescent="0.45">
      <c r="A352" s="33"/>
      <c r="B352" s="67"/>
    </row>
    <row r="353" spans="1:2" ht="15.75" customHeight="1" x14ac:dyDescent="0.45">
      <c r="A353" s="33"/>
      <c r="B353" s="67"/>
    </row>
    <row r="354" spans="1:2" ht="15.75" customHeight="1" x14ac:dyDescent="0.45">
      <c r="A354" s="33"/>
      <c r="B354" s="67"/>
    </row>
    <row r="355" spans="1:2" ht="15.75" customHeight="1" x14ac:dyDescent="0.45">
      <c r="A355" s="33"/>
      <c r="B355" s="67"/>
    </row>
    <row r="356" spans="1:2" ht="15.75" customHeight="1" x14ac:dyDescent="0.45">
      <c r="A356" s="33"/>
      <c r="B356" s="67"/>
    </row>
    <row r="357" spans="1:2" ht="15.75" customHeight="1" x14ac:dyDescent="0.45">
      <c r="A357" s="33"/>
      <c r="B357" s="67"/>
    </row>
    <row r="358" spans="1:2" ht="15.75" customHeight="1" x14ac:dyDescent="0.45">
      <c r="A358" s="33"/>
      <c r="B358" s="67"/>
    </row>
    <row r="359" spans="1:2" ht="15.75" customHeight="1" x14ac:dyDescent="0.45">
      <c r="A359" s="33"/>
      <c r="B359" s="67"/>
    </row>
    <row r="360" spans="1:2" ht="15.75" customHeight="1" x14ac:dyDescent="0.45">
      <c r="A360" s="33"/>
      <c r="B360" s="67"/>
    </row>
    <row r="361" spans="1:2" ht="15.75" customHeight="1" x14ac:dyDescent="0.45">
      <c r="A361" s="33"/>
      <c r="B361" s="67"/>
    </row>
    <row r="362" spans="1:2" ht="15.75" customHeight="1" x14ac:dyDescent="0.45">
      <c r="A362" s="33"/>
      <c r="B362" s="67"/>
    </row>
    <row r="363" spans="1:2" ht="15.75" customHeight="1" x14ac:dyDescent="0.45">
      <c r="A363" s="33"/>
      <c r="B363" s="67"/>
    </row>
    <row r="364" spans="1:2" ht="15.75" customHeight="1" x14ac:dyDescent="0.45">
      <c r="A364" s="33"/>
      <c r="B364" s="67"/>
    </row>
    <row r="365" spans="1:2" ht="15.75" customHeight="1" x14ac:dyDescent="0.45">
      <c r="A365" s="33"/>
      <c r="B365" s="67"/>
    </row>
    <row r="366" spans="1:2" ht="15.75" customHeight="1" x14ac:dyDescent="0.45">
      <c r="A366" s="33"/>
      <c r="B366" s="67"/>
    </row>
    <row r="367" spans="1:2" ht="15.75" customHeight="1" x14ac:dyDescent="0.45">
      <c r="A367" s="33"/>
      <c r="B367" s="67"/>
    </row>
    <row r="368" spans="1:2" ht="15.75" customHeight="1" x14ac:dyDescent="0.45">
      <c r="A368" s="33"/>
      <c r="B368" s="67"/>
    </row>
    <row r="369" spans="1:2" ht="15.75" customHeight="1" x14ac:dyDescent="0.45">
      <c r="A369" s="33"/>
      <c r="B369" s="67"/>
    </row>
    <row r="370" spans="1:2" ht="15.75" customHeight="1" x14ac:dyDescent="0.45">
      <c r="A370" s="33"/>
      <c r="B370" s="67"/>
    </row>
    <row r="371" spans="1:2" ht="15.75" customHeight="1" x14ac:dyDescent="0.45">
      <c r="A371" s="33"/>
      <c r="B371" s="67"/>
    </row>
    <row r="372" spans="1:2" ht="15.75" customHeight="1" x14ac:dyDescent="0.45">
      <c r="A372" s="33"/>
      <c r="B372" s="67"/>
    </row>
    <row r="373" spans="1:2" ht="15.75" customHeight="1" x14ac:dyDescent="0.45">
      <c r="A373" s="33"/>
      <c r="B373" s="67"/>
    </row>
    <row r="374" spans="1:2" ht="15.75" customHeight="1" x14ac:dyDescent="0.45">
      <c r="A374" s="33"/>
      <c r="B374" s="67"/>
    </row>
    <row r="375" spans="1:2" ht="15.75" customHeight="1" x14ac:dyDescent="0.45">
      <c r="A375" s="33"/>
      <c r="B375" s="67"/>
    </row>
    <row r="376" spans="1:2" ht="15.75" customHeight="1" x14ac:dyDescent="0.45">
      <c r="A376" s="33"/>
      <c r="B376" s="67"/>
    </row>
    <row r="377" spans="1:2" ht="15.75" customHeight="1" x14ac:dyDescent="0.45">
      <c r="A377" s="33"/>
      <c r="B377" s="67"/>
    </row>
    <row r="378" spans="1:2" ht="15.75" customHeight="1" x14ac:dyDescent="0.45">
      <c r="A378" s="33"/>
      <c r="B378" s="67"/>
    </row>
    <row r="379" spans="1:2" ht="15.75" customHeight="1" x14ac:dyDescent="0.45">
      <c r="A379" s="33"/>
      <c r="B379" s="67"/>
    </row>
    <row r="380" spans="1:2" ht="15.75" customHeight="1" x14ac:dyDescent="0.45">
      <c r="A380" s="33"/>
      <c r="B380" s="67"/>
    </row>
    <row r="381" spans="1:2" ht="15.75" customHeight="1" x14ac:dyDescent="0.45">
      <c r="A381" s="33"/>
      <c r="B381" s="67"/>
    </row>
    <row r="382" spans="1:2" ht="15.75" customHeight="1" x14ac:dyDescent="0.45">
      <c r="A382" s="33"/>
      <c r="B382" s="67"/>
    </row>
    <row r="383" spans="1:2" ht="15.75" customHeight="1" x14ac:dyDescent="0.45">
      <c r="A383" s="33"/>
      <c r="B383" s="67"/>
    </row>
    <row r="384" spans="1:2" ht="15.75" customHeight="1" x14ac:dyDescent="0.45">
      <c r="A384" s="33"/>
      <c r="B384" s="67"/>
    </row>
    <row r="385" spans="1:2" ht="15.75" customHeight="1" x14ac:dyDescent="0.45">
      <c r="A385" s="33"/>
      <c r="B385" s="67"/>
    </row>
    <row r="386" spans="1:2" ht="15.75" customHeight="1" x14ac:dyDescent="0.45">
      <c r="A386" s="33"/>
      <c r="B386" s="67"/>
    </row>
    <row r="387" spans="1:2" ht="15.75" customHeight="1" x14ac:dyDescent="0.45">
      <c r="A387" s="33"/>
      <c r="B387" s="67"/>
    </row>
    <row r="388" spans="1:2" ht="15.75" customHeight="1" x14ac:dyDescent="0.45">
      <c r="A388" s="33"/>
      <c r="B388" s="67"/>
    </row>
    <row r="389" spans="1:2" ht="15.75" customHeight="1" x14ac:dyDescent="0.45">
      <c r="A389" s="33"/>
      <c r="B389" s="67"/>
    </row>
    <row r="390" spans="1:2" ht="15.75" customHeight="1" x14ac:dyDescent="0.45">
      <c r="A390" s="33"/>
      <c r="B390" s="67"/>
    </row>
    <row r="391" spans="1:2" ht="15.75" customHeight="1" x14ac:dyDescent="0.45">
      <c r="A391" s="33"/>
      <c r="B391" s="67"/>
    </row>
    <row r="392" spans="1:2" ht="15.75" customHeight="1" x14ac:dyDescent="0.45">
      <c r="A392" s="33"/>
      <c r="B392" s="67"/>
    </row>
    <row r="393" spans="1:2" ht="15.75" customHeight="1" x14ac:dyDescent="0.45">
      <c r="A393" s="33"/>
      <c r="B393" s="67"/>
    </row>
    <row r="394" spans="1:2" ht="15.75" customHeight="1" x14ac:dyDescent="0.45">
      <c r="A394" s="33"/>
      <c r="B394" s="67"/>
    </row>
    <row r="395" spans="1:2" ht="15.75" customHeight="1" x14ac:dyDescent="0.45">
      <c r="A395" s="33"/>
      <c r="B395" s="67"/>
    </row>
    <row r="396" spans="1:2" ht="15.75" customHeight="1" x14ac:dyDescent="0.45">
      <c r="A396" s="33"/>
      <c r="B396" s="67"/>
    </row>
    <row r="397" spans="1:2" ht="15.75" customHeight="1" x14ac:dyDescent="0.45">
      <c r="A397" s="33"/>
      <c r="B397" s="67"/>
    </row>
    <row r="398" spans="1:2" ht="15.75" customHeight="1" x14ac:dyDescent="0.45">
      <c r="A398" s="33"/>
      <c r="B398" s="67"/>
    </row>
    <row r="399" spans="1:2" ht="15.75" customHeight="1" x14ac:dyDescent="0.45">
      <c r="A399" s="33"/>
      <c r="B399" s="67"/>
    </row>
    <row r="400" spans="1:2" ht="15.75" customHeight="1" x14ac:dyDescent="0.45">
      <c r="A400" s="33"/>
      <c r="B400" s="67"/>
    </row>
    <row r="401" spans="1:2" ht="15.75" customHeight="1" x14ac:dyDescent="0.45">
      <c r="A401" s="33"/>
      <c r="B401" s="67"/>
    </row>
    <row r="402" spans="1:2" ht="15.75" customHeight="1" x14ac:dyDescent="0.45">
      <c r="A402" s="33"/>
      <c r="B402" s="67"/>
    </row>
    <row r="403" spans="1:2" ht="15.75" customHeight="1" x14ac:dyDescent="0.45">
      <c r="A403" s="33"/>
      <c r="B403" s="67"/>
    </row>
    <row r="404" spans="1:2" ht="15.75" customHeight="1" x14ac:dyDescent="0.45">
      <c r="A404" s="33"/>
      <c r="B404" s="67"/>
    </row>
    <row r="405" spans="1:2" ht="15.75" customHeight="1" x14ac:dyDescent="0.45">
      <c r="A405" s="33"/>
      <c r="B405" s="67"/>
    </row>
    <row r="406" spans="1:2" ht="15.75" customHeight="1" x14ac:dyDescent="0.45">
      <c r="A406" s="33"/>
      <c r="B406" s="67"/>
    </row>
    <row r="407" spans="1:2" ht="15.75" customHeight="1" x14ac:dyDescent="0.45">
      <c r="A407" s="33"/>
      <c r="B407" s="67"/>
    </row>
    <row r="408" spans="1:2" ht="15.75" customHeight="1" x14ac:dyDescent="0.45">
      <c r="A408" s="33"/>
      <c r="B408" s="67"/>
    </row>
    <row r="409" spans="1:2" ht="15.75" customHeight="1" x14ac:dyDescent="0.45">
      <c r="A409" s="33"/>
      <c r="B409" s="67"/>
    </row>
    <row r="410" spans="1:2" ht="15.75" customHeight="1" x14ac:dyDescent="0.45">
      <c r="A410" s="33"/>
      <c r="B410" s="67"/>
    </row>
    <row r="411" spans="1:2" ht="15.75" customHeight="1" x14ac:dyDescent="0.45">
      <c r="A411" s="33"/>
      <c r="B411" s="67"/>
    </row>
    <row r="412" spans="1:2" ht="15.75" customHeight="1" x14ac:dyDescent="0.45">
      <c r="A412" s="33"/>
      <c r="B412" s="67"/>
    </row>
    <row r="413" spans="1:2" ht="15.75" customHeight="1" x14ac:dyDescent="0.45">
      <c r="A413" s="33"/>
      <c r="B413" s="67"/>
    </row>
    <row r="414" spans="1:2" ht="15.75" customHeight="1" x14ac:dyDescent="0.45">
      <c r="A414" s="33"/>
      <c r="B414" s="67"/>
    </row>
    <row r="415" spans="1:2" ht="15.75" customHeight="1" x14ac:dyDescent="0.45">
      <c r="A415" s="33"/>
      <c r="B415" s="67"/>
    </row>
    <row r="416" spans="1:2" ht="15.75" customHeight="1" x14ac:dyDescent="0.45">
      <c r="A416" s="33"/>
      <c r="B416" s="67"/>
    </row>
    <row r="417" spans="1:2" ht="15.75" customHeight="1" x14ac:dyDescent="0.45">
      <c r="A417" s="33"/>
      <c r="B417" s="67"/>
    </row>
    <row r="418" spans="1:2" ht="15.75" customHeight="1" x14ac:dyDescent="0.45">
      <c r="A418" s="33"/>
      <c r="B418" s="67"/>
    </row>
    <row r="419" spans="1:2" ht="15.75" customHeight="1" x14ac:dyDescent="0.45">
      <c r="A419" s="33"/>
      <c r="B419" s="67"/>
    </row>
    <row r="420" spans="1:2" ht="15.75" customHeight="1" x14ac:dyDescent="0.45">
      <c r="A420" s="33"/>
      <c r="B420" s="67"/>
    </row>
    <row r="421" spans="1:2" ht="15.75" customHeight="1" x14ac:dyDescent="0.45">
      <c r="A421" s="33"/>
      <c r="B421" s="67"/>
    </row>
    <row r="422" spans="1:2" ht="15.75" customHeight="1" x14ac:dyDescent="0.45">
      <c r="A422" s="33"/>
      <c r="B422" s="67"/>
    </row>
    <row r="423" spans="1:2" ht="15.75" customHeight="1" x14ac:dyDescent="0.45">
      <c r="A423" s="33"/>
      <c r="B423" s="67"/>
    </row>
    <row r="424" spans="1:2" ht="15.75" customHeight="1" x14ac:dyDescent="0.45">
      <c r="A424" s="33"/>
      <c r="B424" s="67"/>
    </row>
    <row r="425" spans="1:2" ht="15.75" customHeight="1" x14ac:dyDescent="0.45">
      <c r="A425" s="33"/>
      <c r="B425" s="67"/>
    </row>
    <row r="426" spans="1:2" ht="15.75" customHeight="1" x14ac:dyDescent="0.45">
      <c r="A426" s="33"/>
      <c r="B426" s="67"/>
    </row>
    <row r="427" spans="1:2" ht="15.75" customHeight="1" x14ac:dyDescent="0.45">
      <c r="A427" s="33"/>
      <c r="B427" s="67"/>
    </row>
    <row r="428" spans="1:2" ht="15.75" customHeight="1" x14ac:dyDescent="0.45">
      <c r="A428" s="33"/>
      <c r="B428" s="67"/>
    </row>
    <row r="429" spans="1:2" ht="15.75" customHeight="1" x14ac:dyDescent="0.45">
      <c r="A429" s="33"/>
      <c r="B429" s="67"/>
    </row>
    <row r="430" spans="1:2" ht="15.75" customHeight="1" x14ac:dyDescent="0.45">
      <c r="A430" s="33"/>
      <c r="B430" s="67"/>
    </row>
    <row r="431" spans="1:2" ht="15.75" customHeight="1" x14ac:dyDescent="0.45">
      <c r="A431" s="33"/>
      <c r="B431" s="67"/>
    </row>
    <row r="432" spans="1:2" ht="15.75" customHeight="1" x14ac:dyDescent="0.45">
      <c r="A432" s="33"/>
      <c r="B432" s="67"/>
    </row>
    <row r="433" spans="1:2" ht="15.75" customHeight="1" x14ac:dyDescent="0.45">
      <c r="A433" s="33"/>
      <c r="B433" s="67"/>
    </row>
    <row r="434" spans="1:2" ht="15.75" customHeight="1" x14ac:dyDescent="0.45">
      <c r="A434" s="33"/>
      <c r="B434" s="67"/>
    </row>
    <row r="435" spans="1:2" ht="15.75" customHeight="1" x14ac:dyDescent="0.45">
      <c r="A435" s="33"/>
      <c r="B435" s="67"/>
    </row>
    <row r="436" spans="1:2" ht="15.75" customHeight="1" x14ac:dyDescent="0.45">
      <c r="A436" s="33"/>
      <c r="B436" s="67"/>
    </row>
    <row r="437" spans="1:2" ht="15.75" customHeight="1" x14ac:dyDescent="0.45">
      <c r="A437" s="33"/>
      <c r="B437" s="67"/>
    </row>
    <row r="438" spans="1:2" ht="15.75" customHeight="1" x14ac:dyDescent="0.45">
      <c r="A438" s="33"/>
      <c r="B438" s="67"/>
    </row>
    <row r="439" spans="1:2" ht="15.75" customHeight="1" x14ac:dyDescent="0.45">
      <c r="A439" s="33"/>
      <c r="B439" s="67"/>
    </row>
    <row r="440" spans="1:2" ht="15.75" customHeight="1" x14ac:dyDescent="0.45">
      <c r="A440" s="33"/>
      <c r="B440" s="67"/>
    </row>
    <row r="441" spans="1:2" ht="15.75" customHeight="1" x14ac:dyDescent="0.45">
      <c r="A441" s="33"/>
      <c r="B441" s="67"/>
    </row>
    <row r="442" spans="1:2" ht="15.75" customHeight="1" x14ac:dyDescent="0.45">
      <c r="A442" s="33"/>
      <c r="B442" s="67"/>
    </row>
    <row r="443" spans="1:2" ht="15.75" customHeight="1" x14ac:dyDescent="0.45">
      <c r="A443" s="33"/>
      <c r="B443" s="67"/>
    </row>
    <row r="444" spans="1:2" ht="15.75" customHeight="1" x14ac:dyDescent="0.45">
      <c r="A444" s="33"/>
      <c r="B444" s="67"/>
    </row>
    <row r="445" spans="1:2" ht="15.75" customHeight="1" x14ac:dyDescent="0.45">
      <c r="A445" s="33"/>
      <c r="B445" s="67"/>
    </row>
    <row r="446" spans="1:2" ht="15.75" customHeight="1" x14ac:dyDescent="0.45">
      <c r="A446" s="33"/>
      <c r="B446" s="67"/>
    </row>
    <row r="447" spans="1:2" ht="15.75" customHeight="1" x14ac:dyDescent="0.45">
      <c r="A447" s="33"/>
      <c r="B447" s="67"/>
    </row>
    <row r="448" spans="1:2" ht="15.75" customHeight="1" x14ac:dyDescent="0.45">
      <c r="A448" s="33"/>
      <c r="B448" s="67"/>
    </row>
    <row r="449" spans="1:2" ht="15.75" customHeight="1" x14ac:dyDescent="0.45">
      <c r="A449" s="33"/>
      <c r="B449" s="67"/>
    </row>
    <row r="450" spans="1:2" ht="15.75" customHeight="1" x14ac:dyDescent="0.45">
      <c r="A450" s="33"/>
      <c r="B450" s="67"/>
    </row>
    <row r="451" spans="1:2" ht="15.75" customHeight="1" x14ac:dyDescent="0.45">
      <c r="A451" s="33"/>
      <c r="B451" s="67"/>
    </row>
    <row r="452" spans="1:2" ht="15.75" customHeight="1" x14ac:dyDescent="0.45">
      <c r="A452" s="33"/>
      <c r="B452" s="67"/>
    </row>
    <row r="453" spans="1:2" ht="15.75" customHeight="1" x14ac:dyDescent="0.45">
      <c r="A453" s="33"/>
      <c r="B453" s="67"/>
    </row>
    <row r="454" spans="1:2" ht="15.75" customHeight="1" x14ac:dyDescent="0.45">
      <c r="A454" s="33"/>
      <c r="B454" s="67"/>
    </row>
    <row r="455" spans="1:2" ht="15.75" customHeight="1" x14ac:dyDescent="0.45">
      <c r="A455" s="33"/>
      <c r="B455" s="67"/>
    </row>
    <row r="456" spans="1:2" ht="15.75" customHeight="1" x14ac:dyDescent="0.45">
      <c r="A456" s="33"/>
      <c r="B456" s="67"/>
    </row>
    <row r="457" spans="1:2" ht="15.75" customHeight="1" x14ac:dyDescent="0.45">
      <c r="A457" s="33"/>
      <c r="B457" s="67"/>
    </row>
    <row r="458" spans="1:2" ht="15.75" customHeight="1" x14ac:dyDescent="0.45">
      <c r="A458" s="33"/>
      <c r="B458" s="67"/>
    </row>
    <row r="459" spans="1:2" ht="15.75" customHeight="1" x14ac:dyDescent="0.45">
      <c r="A459" s="33"/>
      <c r="B459" s="67"/>
    </row>
    <row r="460" spans="1:2" ht="15.75" customHeight="1" x14ac:dyDescent="0.45">
      <c r="A460" s="33"/>
      <c r="B460" s="67"/>
    </row>
    <row r="461" spans="1:2" ht="15.75" customHeight="1" x14ac:dyDescent="0.45">
      <c r="A461" s="33"/>
      <c r="B461" s="67"/>
    </row>
    <row r="462" spans="1:2" ht="15.75" customHeight="1" x14ac:dyDescent="0.45">
      <c r="A462" s="33"/>
      <c r="B462" s="67"/>
    </row>
    <row r="463" spans="1:2" ht="15.75" customHeight="1" x14ac:dyDescent="0.45">
      <c r="A463" s="33"/>
      <c r="B463" s="67"/>
    </row>
    <row r="464" spans="1:2" ht="15.75" customHeight="1" x14ac:dyDescent="0.45">
      <c r="A464" s="33"/>
      <c r="B464" s="67"/>
    </row>
    <row r="465" spans="1:2" ht="15.75" customHeight="1" x14ac:dyDescent="0.45">
      <c r="A465" s="33"/>
      <c r="B465" s="67"/>
    </row>
    <row r="466" spans="1:2" ht="15.75" customHeight="1" x14ac:dyDescent="0.45">
      <c r="A466" s="33"/>
      <c r="B466" s="67"/>
    </row>
    <row r="467" spans="1:2" ht="15.75" customHeight="1" x14ac:dyDescent="0.45">
      <c r="A467" s="33"/>
      <c r="B467" s="67"/>
    </row>
    <row r="468" spans="1:2" ht="15.75" customHeight="1" x14ac:dyDescent="0.45">
      <c r="A468" s="33"/>
      <c r="B468" s="67"/>
    </row>
    <row r="469" spans="1:2" ht="15.75" customHeight="1" x14ac:dyDescent="0.45">
      <c r="A469" s="33"/>
      <c r="B469" s="67"/>
    </row>
    <row r="470" spans="1:2" ht="15.75" customHeight="1" x14ac:dyDescent="0.45">
      <c r="A470" s="33"/>
      <c r="B470" s="67"/>
    </row>
    <row r="471" spans="1:2" ht="15.75" customHeight="1" x14ac:dyDescent="0.45">
      <c r="A471" s="33"/>
      <c r="B471" s="67"/>
    </row>
    <row r="472" spans="1:2" ht="15.75" customHeight="1" x14ac:dyDescent="0.45">
      <c r="A472" s="33"/>
      <c r="B472" s="67"/>
    </row>
    <row r="473" spans="1:2" ht="15.75" customHeight="1" x14ac:dyDescent="0.45">
      <c r="A473" s="33"/>
      <c r="B473" s="67"/>
    </row>
    <row r="474" spans="1:2" ht="15.75" customHeight="1" x14ac:dyDescent="0.45">
      <c r="A474" s="33"/>
      <c r="B474" s="67"/>
    </row>
    <row r="475" spans="1:2" ht="15.75" customHeight="1" x14ac:dyDescent="0.45">
      <c r="A475" s="33"/>
      <c r="B475" s="67"/>
    </row>
    <row r="476" spans="1:2" ht="15.75" customHeight="1" x14ac:dyDescent="0.45">
      <c r="A476" s="33"/>
      <c r="B476" s="67"/>
    </row>
    <row r="477" spans="1:2" ht="15.75" customHeight="1" x14ac:dyDescent="0.45">
      <c r="A477" s="33"/>
      <c r="B477" s="67"/>
    </row>
    <row r="478" spans="1:2" ht="15.75" customHeight="1" x14ac:dyDescent="0.45">
      <c r="A478" s="33"/>
      <c r="B478" s="67"/>
    </row>
    <row r="479" spans="1:2" ht="15.75" customHeight="1" x14ac:dyDescent="0.45">
      <c r="A479" s="33"/>
      <c r="B479" s="67"/>
    </row>
    <row r="480" spans="1:2" ht="15.75" customHeight="1" x14ac:dyDescent="0.45">
      <c r="A480" s="33"/>
      <c r="B480" s="67"/>
    </row>
    <row r="481" spans="1:2" ht="15.75" customHeight="1" x14ac:dyDescent="0.45">
      <c r="A481" s="33"/>
      <c r="B481" s="67"/>
    </row>
    <row r="482" spans="1:2" ht="15.75" customHeight="1" x14ac:dyDescent="0.45">
      <c r="A482" s="33"/>
      <c r="B482" s="67"/>
    </row>
    <row r="483" spans="1:2" ht="15.75" customHeight="1" x14ac:dyDescent="0.45">
      <c r="A483" s="33"/>
      <c r="B483" s="67"/>
    </row>
    <row r="484" spans="1:2" ht="15.75" customHeight="1" x14ac:dyDescent="0.45">
      <c r="A484" s="33"/>
      <c r="B484" s="67"/>
    </row>
    <row r="485" spans="1:2" ht="15.75" customHeight="1" x14ac:dyDescent="0.45">
      <c r="A485" s="33"/>
      <c r="B485" s="67"/>
    </row>
    <row r="486" spans="1:2" ht="15.75" customHeight="1" x14ac:dyDescent="0.45">
      <c r="A486" s="33"/>
      <c r="B486" s="67"/>
    </row>
    <row r="487" spans="1:2" ht="15.75" customHeight="1" x14ac:dyDescent="0.45">
      <c r="A487" s="33"/>
      <c r="B487" s="67"/>
    </row>
    <row r="488" spans="1:2" ht="15.75" customHeight="1" x14ac:dyDescent="0.45">
      <c r="A488" s="33"/>
      <c r="B488" s="67"/>
    </row>
    <row r="489" spans="1:2" ht="15.75" customHeight="1" x14ac:dyDescent="0.45">
      <c r="A489" s="33"/>
      <c r="B489" s="67"/>
    </row>
    <row r="490" spans="1:2" ht="15.75" customHeight="1" x14ac:dyDescent="0.45">
      <c r="A490" s="33"/>
      <c r="B490" s="67"/>
    </row>
    <row r="491" spans="1:2" ht="15.75" customHeight="1" x14ac:dyDescent="0.45">
      <c r="A491" s="33"/>
      <c r="B491" s="67"/>
    </row>
    <row r="492" spans="1:2" ht="15.75" customHeight="1" x14ac:dyDescent="0.45">
      <c r="A492" s="33"/>
      <c r="B492" s="67"/>
    </row>
    <row r="493" spans="1:2" ht="15.75" customHeight="1" x14ac:dyDescent="0.45">
      <c r="A493" s="33"/>
      <c r="B493" s="67"/>
    </row>
    <row r="494" spans="1:2" ht="15.75" customHeight="1" x14ac:dyDescent="0.45">
      <c r="A494" s="33"/>
      <c r="B494" s="67"/>
    </row>
    <row r="495" spans="1:2" ht="15.75" customHeight="1" x14ac:dyDescent="0.45">
      <c r="A495" s="33"/>
      <c r="B495" s="67"/>
    </row>
    <row r="496" spans="1:2" ht="15.75" customHeight="1" x14ac:dyDescent="0.45">
      <c r="A496" s="33"/>
      <c r="B496" s="67"/>
    </row>
    <row r="497" spans="1:2" ht="15.75" customHeight="1" x14ac:dyDescent="0.45">
      <c r="A497" s="33"/>
      <c r="B497" s="67"/>
    </row>
    <row r="498" spans="1:2" ht="15.75" customHeight="1" x14ac:dyDescent="0.45">
      <c r="A498" s="33"/>
      <c r="B498" s="67"/>
    </row>
    <row r="499" spans="1:2" ht="15.75" customHeight="1" x14ac:dyDescent="0.45">
      <c r="A499" s="33"/>
      <c r="B499" s="67"/>
    </row>
    <row r="500" spans="1:2" ht="15.75" customHeight="1" x14ac:dyDescent="0.45">
      <c r="A500" s="33"/>
      <c r="B500" s="67"/>
    </row>
    <row r="501" spans="1:2" ht="15.75" customHeight="1" x14ac:dyDescent="0.45">
      <c r="A501" s="33"/>
      <c r="B501" s="67"/>
    </row>
    <row r="502" spans="1:2" ht="15.75" customHeight="1" x14ac:dyDescent="0.45">
      <c r="A502" s="33"/>
      <c r="B502" s="67"/>
    </row>
    <row r="503" spans="1:2" ht="15.75" customHeight="1" x14ac:dyDescent="0.45">
      <c r="A503" s="33"/>
      <c r="B503" s="67"/>
    </row>
    <row r="504" spans="1:2" ht="15.75" customHeight="1" x14ac:dyDescent="0.45">
      <c r="A504" s="33"/>
      <c r="B504" s="67"/>
    </row>
    <row r="505" spans="1:2" ht="15.75" customHeight="1" x14ac:dyDescent="0.45">
      <c r="A505" s="33"/>
      <c r="B505" s="67"/>
    </row>
    <row r="506" spans="1:2" ht="15.75" customHeight="1" x14ac:dyDescent="0.45">
      <c r="A506" s="33"/>
      <c r="B506" s="67"/>
    </row>
    <row r="507" spans="1:2" ht="15.75" customHeight="1" x14ac:dyDescent="0.45">
      <c r="A507" s="33"/>
      <c r="B507" s="67"/>
    </row>
    <row r="508" spans="1:2" ht="15.75" customHeight="1" x14ac:dyDescent="0.45">
      <c r="A508" s="33"/>
      <c r="B508" s="67"/>
    </row>
    <row r="509" spans="1:2" ht="15.75" customHeight="1" x14ac:dyDescent="0.45">
      <c r="A509" s="33"/>
      <c r="B509" s="67"/>
    </row>
    <row r="510" spans="1:2" ht="15.75" customHeight="1" x14ac:dyDescent="0.45">
      <c r="A510" s="33"/>
      <c r="B510" s="67"/>
    </row>
    <row r="511" spans="1:2" ht="15.75" customHeight="1" x14ac:dyDescent="0.45">
      <c r="A511" s="33"/>
      <c r="B511" s="67"/>
    </row>
    <row r="512" spans="1:2" ht="15.75" customHeight="1" x14ac:dyDescent="0.45">
      <c r="A512" s="33"/>
      <c r="B512" s="67"/>
    </row>
    <row r="513" spans="1:2" ht="15.75" customHeight="1" x14ac:dyDescent="0.45">
      <c r="A513" s="33"/>
      <c r="B513" s="67"/>
    </row>
    <row r="514" spans="1:2" ht="15.75" customHeight="1" x14ac:dyDescent="0.45">
      <c r="A514" s="33"/>
      <c r="B514" s="67"/>
    </row>
    <row r="515" spans="1:2" ht="15.75" customHeight="1" x14ac:dyDescent="0.45">
      <c r="A515" s="33"/>
      <c r="B515" s="67"/>
    </row>
    <row r="516" spans="1:2" ht="15.75" customHeight="1" x14ac:dyDescent="0.45">
      <c r="A516" s="33"/>
      <c r="B516" s="67"/>
    </row>
    <row r="517" spans="1:2" ht="15.75" customHeight="1" x14ac:dyDescent="0.45">
      <c r="A517" s="33"/>
      <c r="B517" s="67"/>
    </row>
    <row r="518" spans="1:2" ht="15.75" customHeight="1" x14ac:dyDescent="0.45">
      <c r="A518" s="33"/>
      <c r="B518" s="67"/>
    </row>
    <row r="519" spans="1:2" ht="15.75" customHeight="1" x14ac:dyDescent="0.45">
      <c r="A519" s="33"/>
      <c r="B519" s="67"/>
    </row>
    <row r="520" spans="1:2" ht="15.75" customHeight="1" x14ac:dyDescent="0.45">
      <c r="A520" s="33"/>
      <c r="B520" s="67"/>
    </row>
    <row r="521" spans="1:2" ht="15.75" customHeight="1" x14ac:dyDescent="0.45">
      <c r="A521" s="33"/>
      <c r="B521" s="67"/>
    </row>
    <row r="522" spans="1:2" ht="15.75" customHeight="1" x14ac:dyDescent="0.45">
      <c r="A522" s="33"/>
      <c r="B522" s="67"/>
    </row>
    <row r="523" spans="1:2" ht="15.75" customHeight="1" x14ac:dyDescent="0.45">
      <c r="A523" s="33"/>
      <c r="B523" s="67"/>
    </row>
    <row r="524" spans="1:2" ht="15.75" customHeight="1" x14ac:dyDescent="0.45">
      <c r="A524" s="33"/>
      <c r="B524" s="67"/>
    </row>
    <row r="525" spans="1:2" ht="15.75" customHeight="1" x14ac:dyDescent="0.45">
      <c r="A525" s="33"/>
      <c r="B525" s="67"/>
    </row>
    <row r="526" spans="1:2" ht="15.75" customHeight="1" x14ac:dyDescent="0.45">
      <c r="A526" s="33"/>
      <c r="B526" s="67"/>
    </row>
    <row r="527" spans="1:2" ht="15.75" customHeight="1" x14ac:dyDescent="0.45">
      <c r="A527" s="33"/>
      <c r="B527" s="67"/>
    </row>
    <row r="528" spans="1:2" ht="15.75" customHeight="1" x14ac:dyDescent="0.45">
      <c r="A528" s="33"/>
      <c r="B528" s="67"/>
    </row>
    <row r="529" spans="1:2" ht="15.75" customHeight="1" x14ac:dyDescent="0.45">
      <c r="A529" s="33"/>
      <c r="B529" s="67"/>
    </row>
    <row r="530" spans="1:2" ht="15.75" customHeight="1" x14ac:dyDescent="0.45">
      <c r="A530" s="33"/>
      <c r="B530" s="67"/>
    </row>
    <row r="531" spans="1:2" ht="15.75" customHeight="1" x14ac:dyDescent="0.45">
      <c r="A531" s="33"/>
      <c r="B531" s="67"/>
    </row>
    <row r="532" spans="1:2" ht="15.75" customHeight="1" x14ac:dyDescent="0.45">
      <c r="A532" s="33"/>
      <c r="B532" s="67"/>
    </row>
    <row r="533" spans="1:2" ht="15.75" customHeight="1" x14ac:dyDescent="0.45">
      <c r="A533" s="33"/>
      <c r="B533" s="67"/>
    </row>
    <row r="534" spans="1:2" ht="15.75" customHeight="1" x14ac:dyDescent="0.45">
      <c r="A534" s="33"/>
      <c r="B534" s="67"/>
    </row>
    <row r="535" spans="1:2" ht="15.75" customHeight="1" x14ac:dyDescent="0.45">
      <c r="A535" s="33"/>
      <c r="B535" s="67"/>
    </row>
    <row r="536" spans="1:2" ht="15.75" customHeight="1" x14ac:dyDescent="0.45">
      <c r="A536" s="33"/>
      <c r="B536" s="67"/>
    </row>
    <row r="537" spans="1:2" ht="15.75" customHeight="1" x14ac:dyDescent="0.45">
      <c r="A537" s="33"/>
      <c r="B537" s="67"/>
    </row>
    <row r="538" spans="1:2" ht="15.75" customHeight="1" x14ac:dyDescent="0.45">
      <c r="A538" s="33"/>
      <c r="B538" s="67"/>
    </row>
    <row r="539" spans="1:2" ht="15.75" customHeight="1" x14ac:dyDescent="0.45">
      <c r="A539" s="33"/>
      <c r="B539" s="67"/>
    </row>
    <row r="540" spans="1:2" ht="15.75" customHeight="1" x14ac:dyDescent="0.45">
      <c r="A540" s="33"/>
      <c r="B540" s="67"/>
    </row>
    <row r="541" spans="1:2" ht="15.75" customHeight="1" x14ac:dyDescent="0.45">
      <c r="A541" s="33"/>
      <c r="B541" s="67"/>
    </row>
    <row r="542" spans="1:2" ht="15.75" customHeight="1" x14ac:dyDescent="0.45">
      <c r="A542" s="33"/>
      <c r="B542" s="67"/>
    </row>
    <row r="543" spans="1:2" ht="15.75" customHeight="1" x14ac:dyDescent="0.45">
      <c r="A543" s="33"/>
      <c r="B543" s="67"/>
    </row>
    <row r="544" spans="1:2" ht="15.75" customHeight="1" x14ac:dyDescent="0.45">
      <c r="A544" s="33"/>
      <c r="B544" s="67"/>
    </row>
    <row r="545" spans="1:2" ht="15.75" customHeight="1" x14ac:dyDescent="0.45">
      <c r="A545" s="33"/>
      <c r="B545" s="67"/>
    </row>
    <row r="546" spans="1:2" ht="15.75" customHeight="1" x14ac:dyDescent="0.45">
      <c r="A546" s="33"/>
      <c r="B546" s="67"/>
    </row>
    <row r="547" spans="1:2" ht="15.75" customHeight="1" x14ac:dyDescent="0.45">
      <c r="A547" s="33"/>
      <c r="B547" s="67"/>
    </row>
    <row r="548" spans="1:2" ht="15.75" customHeight="1" x14ac:dyDescent="0.45">
      <c r="A548" s="33"/>
      <c r="B548" s="67"/>
    </row>
    <row r="549" spans="1:2" ht="15.75" customHeight="1" x14ac:dyDescent="0.45">
      <c r="A549" s="33"/>
      <c r="B549" s="67"/>
    </row>
    <row r="550" spans="1:2" ht="15.75" customHeight="1" x14ac:dyDescent="0.45">
      <c r="A550" s="33"/>
      <c r="B550" s="67"/>
    </row>
    <row r="551" spans="1:2" ht="15.75" customHeight="1" x14ac:dyDescent="0.45">
      <c r="A551" s="33"/>
      <c r="B551" s="67"/>
    </row>
    <row r="552" spans="1:2" ht="15.75" customHeight="1" x14ac:dyDescent="0.45">
      <c r="A552" s="33"/>
      <c r="B552" s="67"/>
    </row>
    <row r="553" spans="1:2" ht="15.75" customHeight="1" x14ac:dyDescent="0.45">
      <c r="A553" s="33"/>
      <c r="B553" s="67"/>
    </row>
    <row r="554" spans="1:2" ht="15.75" customHeight="1" x14ac:dyDescent="0.45">
      <c r="A554" s="33"/>
      <c r="B554" s="67"/>
    </row>
    <row r="555" spans="1:2" ht="15.75" customHeight="1" x14ac:dyDescent="0.45">
      <c r="A555" s="33"/>
      <c r="B555" s="67"/>
    </row>
    <row r="556" spans="1:2" ht="15.75" customHeight="1" x14ac:dyDescent="0.45">
      <c r="A556" s="33"/>
      <c r="B556" s="67"/>
    </row>
    <row r="557" spans="1:2" ht="15.75" customHeight="1" x14ac:dyDescent="0.45">
      <c r="A557" s="33"/>
      <c r="B557" s="67"/>
    </row>
    <row r="558" spans="1:2" ht="15.75" customHeight="1" x14ac:dyDescent="0.45">
      <c r="A558" s="33"/>
      <c r="B558" s="67"/>
    </row>
    <row r="559" spans="1:2" ht="15.75" customHeight="1" x14ac:dyDescent="0.45">
      <c r="A559" s="33"/>
      <c r="B559" s="67"/>
    </row>
    <row r="560" spans="1:2" ht="15.75" customHeight="1" x14ac:dyDescent="0.45">
      <c r="A560" s="33"/>
      <c r="B560" s="67"/>
    </row>
    <row r="561" spans="1:2" ht="15.75" customHeight="1" x14ac:dyDescent="0.45">
      <c r="A561" s="33"/>
      <c r="B561" s="67"/>
    </row>
    <row r="562" spans="1:2" ht="15.75" customHeight="1" x14ac:dyDescent="0.45">
      <c r="A562" s="33"/>
      <c r="B562" s="67"/>
    </row>
    <row r="563" spans="1:2" ht="15.75" customHeight="1" x14ac:dyDescent="0.45">
      <c r="A563" s="33"/>
      <c r="B563" s="67"/>
    </row>
    <row r="564" spans="1:2" ht="15.75" customHeight="1" x14ac:dyDescent="0.45">
      <c r="A564" s="33"/>
      <c r="B564" s="67"/>
    </row>
    <row r="565" spans="1:2" ht="15.75" customHeight="1" x14ac:dyDescent="0.45">
      <c r="A565" s="33"/>
      <c r="B565" s="67"/>
    </row>
    <row r="566" spans="1:2" ht="15.75" customHeight="1" x14ac:dyDescent="0.45">
      <c r="A566" s="33"/>
      <c r="B566" s="67"/>
    </row>
    <row r="567" spans="1:2" ht="15.75" customHeight="1" x14ac:dyDescent="0.45">
      <c r="A567" s="33"/>
      <c r="B567" s="67"/>
    </row>
    <row r="568" spans="1:2" ht="15.75" customHeight="1" x14ac:dyDescent="0.45">
      <c r="A568" s="33"/>
      <c r="B568" s="67"/>
    </row>
    <row r="569" spans="1:2" ht="15.75" customHeight="1" x14ac:dyDescent="0.45">
      <c r="A569" s="33"/>
      <c r="B569" s="67"/>
    </row>
    <row r="570" spans="1:2" ht="15.75" customHeight="1" x14ac:dyDescent="0.45">
      <c r="A570" s="33"/>
      <c r="B570" s="67"/>
    </row>
    <row r="571" spans="1:2" ht="15.75" customHeight="1" x14ac:dyDescent="0.45">
      <c r="A571" s="33"/>
      <c r="B571" s="67"/>
    </row>
    <row r="572" spans="1:2" ht="15.75" customHeight="1" x14ac:dyDescent="0.45">
      <c r="A572" s="33"/>
      <c r="B572" s="67"/>
    </row>
    <row r="573" spans="1:2" ht="15.75" customHeight="1" x14ac:dyDescent="0.45">
      <c r="A573" s="33"/>
      <c r="B573" s="67"/>
    </row>
    <row r="574" spans="1:2" ht="15.75" customHeight="1" x14ac:dyDescent="0.45">
      <c r="A574" s="33"/>
      <c r="B574" s="67"/>
    </row>
    <row r="575" spans="1:2" ht="15.75" customHeight="1" x14ac:dyDescent="0.45">
      <c r="A575" s="33"/>
      <c r="B575" s="67"/>
    </row>
    <row r="576" spans="1:2" ht="15.75" customHeight="1" x14ac:dyDescent="0.45">
      <c r="A576" s="33"/>
      <c r="B576" s="67"/>
    </row>
    <row r="577" spans="1:2" ht="15.75" customHeight="1" x14ac:dyDescent="0.45">
      <c r="A577" s="33"/>
      <c r="B577" s="67"/>
    </row>
    <row r="578" spans="1:2" ht="15.75" customHeight="1" x14ac:dyDescent="0.45">
      <c r="A578" s="33"/>
      <c r="B578" s="67"/>
    </row>
    <row r="579" spans="1:2" ht="15.75" customHeight="1" x14ac:dyDescent="0.45">
      <c r="A579" s="33"/>
      <c r="B579" s="67"/>
    </row>
    <row r="580" spans="1:2" ht="15.75" customHeight="1" x14ac:dyDescent="0.45">
      <c r="A580" s="33"/>
      <c r="B580" s="67"/>
    </row>
    <row r="581" spans="1:2" ht="15.75" customHeight="1" x14ac:dyDescent="0.45">
      <c r="A581" s="33"/>
      <c r="B581" s="67"/>
    </row>
    <row r="582" spans="1:2" ht="15.75" customHeight="1" x14ac:dyDescent="0.45">
      <c r="A582" s="33"/>
      <c r="B582" s="67"/>
    </row>
    <row r="583" spans="1:2" ht="15.75" customHeight="1" x14ac:dyDescent="0.45">
      <c r="A583" s="33"/>
      <c r="B583" s="67"/>
    </row>
    <row r="584" spans="1:2" ht="15.75" customHeight="1" x14ac:dyDescent="0.45">
      <c r="A584" s="33"/>
      <c r="B584" s="67"/>
    </row>
    <row r="585" spans="1:2" ht="15.75" customHeight="1" x14ac:dyDescent="0.45">
      <c r="A585" s="33"/>
      <c r="B585" s="67"/>
    </row>
    <row r="586" spans="1:2" ht="15.75" customHeight="1" x14ac:dyDescent="0.45">
      <c r="A586" s="33"/>
      <c r="B586" s="67"/>
    </row>
    <row r="587" spans="1:2" ht="15.75" customHeight="1" x14ac:dyDescent="0.45">
      <c r="A587" s="33"/>
      <c r="B587" s="67"/>
    </row>
    <row r="588" spans="1:2" ht="15.75" customHeight="1" x14ac:dyDescent="0.45">
      <c r="A588" s="33"/>
      <c r="B588" s="67"/>
    </row>
    <row r="589" spans="1:2" ht="15.75" customHeight="1" x14ac:dyDescent="0.45">
      <c r="A589" s="33"/>
      <c r="B589" s="67"/>
    </row>
    <row r="590" spans="1:2" ht="15.75" customHeight="1" x14ac:dyDescent="0.45">
      <c r="A590" s="33"/>
      <c r="B590" s="67"/>
    </row>
    <row r="591" spans="1:2" ht="15.75" customHeight="1" x14ac:dyDescent="0.45">
      <c r="A591" s="33"/>
      <c r="B591" s="67"/>
    </row>
    <row r="592" spans="1:2" ht="15.75" customHeight="1" x14ac:dyDescent="0.45">
      <c r="A592" s="33"/>
      <c r="B592" s="67"/>
    </row>
    <row r="593" spans="1:2" ht="15.75" customHeight="1" x14ac:dyDescent="0.45">
      <c r="A593" s="33"/>
      <c r="B593" s="67"/>
    </row>
    <row r="594" spans="1:2" ht="15.75" customHeight="1" x14ac:dyDescent="0.45">
      <c r="A594" s="33"/>
      <c r="B594" s="67"/>
    </row>
    <row r="595" spans="1:2" ht="15.75" customHeight="1" x14ac:dyDescent="0.45">
      <c r="A595" s="33"/>
      <c r="B595" s="67"/>
    </row>
    <row r="596" spans="1:2" ht="15.75" customHeight="1" x14ac:dyDescent="0.45">
      <c r="A596" s="33"/>
      <c r="B596" s="67"/>
    </row>
    <row r="597" spans="1:2" ht="15.75" customHeight="1" x14ac:dyDescent="0.45">
      <c r="A597" s="33"/>
      <c r="B597" s="67"/>
    </row>
    <row r="598" spans="1:2" ht="15.75" customHeight="1" x14ac:dyDescent="0.45">
      <c r="A598" s="33"/>
      <c r="B598" s="67"/>
    </row>
    <row r="599" spans="1:2" ht="15.75" customHeight="1" x14ac:dyDescent="0.45">
      <c r="A599" s="33"/>
      <c r="B599" s="67"/>
    </row>
    <row r="600" spans="1:2" ht="15.75" customHeight="1" x14ac:dyDescent="0.45">
      <c r="A600" s="33"/>
      <c r="B600" s="67"/>
    </row>
    <row r="601" spans="1:2" ht="15.75" customHeight="1" x14ac:dyDescent="0.45">
      <c r="A601" s="33"/>
      <c r="B601" s="67"/>
    </row>
    <row r="602" spans="1:2" ht="15.75" customHeight="1" x14ac:dyDescent="0.45">
      <c r="A602" s="33"/>
      <c r="B602" s="67"/>
    </row>
    <row r="603" spans="1:2" ht="15.75" customHeight="1" x14ac:dyDescent="0.45">
      <c r="A603" s="33"/>
      <c r="B603" s="67"/>
    </row>
    <row r="604" spans="1:2" ht="15.75" customHeight="1" x14ac:dyDescent="0.45">
      <c r="A604" s="33"/>
      <c r="B604" s="67"/>
    </row>
    <row r="605" spans="1:2" ht="15.75" customHeight="1" x14ac:dyDescent="0.45">
      <c r="A605" s="33"/>
      <c r="B605" s="67"/>
    </row>
    <row r="606" spans="1:2" ht="15.75" customHeight="1" x14ac:dyDescent="0.45">
      <c r="A606" s="33"/>
      <c r="B606" s="67"/>
    </row>
    <row r="607" spans="1:2" ht="15.75" customHeight="1" x14ac:dyDescent="0.45">
      <c r="A607" s="33"/>
      <c r="B607" s="67"/>
    </row>
    <row r="608" spans="1:2" ht="15.75" customHeight="1" x14ac:dyDescent="0.45">
      <c r="A608" s="33"/>
      <c r="B608" s="67"/>
    </row>
    <row r="609" spans="1:2" ht="15.75" customHeight="1" x14ac:dyDescent="0.45">
      <c r="A609" s="33"/>
      <c r="B609" s="67"/>
    </row>
    <row r="610" spans="1:2" ht="15.75" customHeight="1" x14ac:dyDescent="0.45">
      <c r="A610" s="33"/>
      <c r="B610" s="67"/>
    </row>
    <row r="611" spans="1:2" ht="15.75" customHeight="1" x14ac:dyDescent="0.45">
      <c r="A611" s="33"/>
      <c r="B611" s="67"/>
    </row>
    <row r="612" spans="1:2" ht="15.75" customHeight="1" x14ac:dyDescent="0.45">
      <c r="A612" s="33"/>
      <c r="B612" s="67"/>
    </row>
    <row r="613" spans="1:2" ht="15.75" customHeight="1" x14ac:dyDescent="0.45">
      <c r="A613" s="33"/>
      <c r="B613" s="67"/>
    </row>
    <row r="614" spans="1:2" ht="15.75" customHeight="1" x14ac:dyDescent="0.45">
      <c r="A614" s="33"/>
      <c r="B614" s="67"/>
    </row>
    <row r="615" spans="1:2" ht="15.75" customHeight="1" x14ac:dyDescent="0.45">
      <c r="A615" s="33"/>
      <c r="B615" s="67"/>
    </row>
    <row r="616" spans="1:2" ht="15.75" customHeight="1" x14ac:dyDescent="0.45">
      <c r="A616" s="33"/>
      <c r="B616" s="67"/>
    </row>
    <row r="617" spans="1:2" ht="15.75" customHeight="1" x14ac:dyDescent="0.45">
      <c r="A617" s="33"/>
      <c r="B617" s="67"/>
    </row>
    <row r="618" spans="1:2" ht="15.75" customHeight="1" x14ac:dyDescent="0.45">
      <c r="A618" s="33"/>
      <c r="B618" s="67"/>
    </row>
    <row r="619" spans="1:2" ht="15.75" customHeight="1" x14ac:dyDescent="0.45">
      <c r="A619" s="33"/>
      <c r="B619" s="67"/>
    </row>
    <row r="620" spans="1:2" ht="15.75" customHeight="1" x14ac:dyDescent="0.45">
      <c r="A620" s="33"/>
      <c r="B620" s="67"/>
    </row>
    <row r="621" spans="1:2" ht="15.75" customHeight="1" x14ac:dyDescent="0.45">
      <c r="A621" s="33"/>
      <c r="B621" s="67"/>
    </row>
    <row r="622" spans="1:2" ht="15.75" customHeight="1" x14ac:dyDescent="0.45">
      <c r="A622" s="33"/>
      <c r="B622" s="67"/>
    </row>
    <row r="623" spans="1:2" ht="15.75" customHeight="1" x14ac:dyDescent="0.45">
      <c r="A623" s="33"/>
      <c r="B623" s="67"/>
    </row>
    <row r="624" spans="1:2" ht="15.75" customHeight="1" x14ac:dyDescent="0.45">
      <c r="A624" s="33"/>
      <c r="B624" s="67"/>
    </row>
    <row r="625" spans="1:2" ht="15.75" customHeight="1" x14ac:dyDescent="0.45">
      <c r="A625" s="33"/>
      <c r="B625" s="67"/>
    </row>
    <row r="626" spans="1:2" ht="15.75" customHeight="1" x14ac:dyDescent="0.45">
      <c r="A626" s="33"/>
      <c r="B626" s="67"/>
    </row>
    <row r="627" spans="1:2" ht="15.75" customHeight="1" x14ac:dyDescent="0.45">
      <c r="A627" s="33"/>
      <c r="B627" s="67"/>
    </row>
    <row r="628" spans="1:2" ht="15.75" customHeight="1" x14ac:dyDescent="0.45">
      <c r="A628" s="33"/>
      <c r="B628" s="67"/>
    </row>
    <row r="629" spans="1:2" ht="15.75" customHeight="1" x14ac:dyDescent="0.45">
      <c r="A629" s="33"/>
      <c r="B629" s="67"/>
    </row>
    <row r="630" spans="1:2" ht="15.75" customHeight="1" x14ac:dyDescent="0.45">
      <c r="A630" s="33"/>
      <c r="B630" s="67"/>
    </row>
    <row r="631" spans="1:2" ht="15.75" customHeight="1" x14ac:dyDescent="0.45">
      <c r="A631" s="33"/>
      <c r="B631" s="67"/>
    </row>
    <row r="632" spans="1:2" ht="15.75" customHeight="1" x14ac:dyDescent="0.45">
      <c r="A632" s="33"/>
      <c r="B632" s="67"/>
    </row>
    <row r="633" spans="1:2" ht="15.75" customHeight="1" x14ac:dyDescent="0.45">
      <c r="A633" s="33"/>
      <c r="B633" s="67"/>
    </row>
    <row r="634" spans="1:2" ht="15.75" customHeight="1" x14ac:dyDescent="0.45">
      <c r="A634" s="33"/>
      <c r="B634" s="67"/>
    </row>
    <row r="635" spans="1:2" ht="15.75" customHeight="1" x14ac:dyDescent="0.45">
      <c r="A635" s="33"/>
      <c r="B635" s="67"/>
    </row>
    <row r="636" spans="1:2" ht="15.75" customHeight="1" x14ac:dyDescent="0.45">
      <c r="A636" s="33"/>
      <c r="B636" s="67"/>
    </row>
    <row r="637" spans="1:2" ht="15.75" customHeight="1" x14ac:dyDescent="0.45">
      <c r="A637" s="33"/>
      <c r="B637" s="67"/>
    </row>
    <row r="638" spans="1:2" ht="15.75" customHeight="1" x14ac:dyDescent="0.45">
      <c r="A638" s="33"/>
      <c r="B638" s="67"/>
    </row>
    <row r="639" spans="1:2" ht="15.75" customHeight="1" x14ac:dyDescent="0.45">
      <c r="A639" s="33"/>
      <c r="B639" s="67"/>
    </row>
    <row r="640" spans="1:2" ht="15.75" customHeight="1" x14ac:dyDescent="0.45">
      <c r="A640" s="33"/>
      <c r="B640" s="67"/>
    </row>
    <row r="641" spans="1:2" ht="15.75" customHeight="1" x14ac:dyDescent="0.45">
      <c r="A641" s="33"/>
      <c r="B641" s="67"/>
    </row>
    <row r="642" spans="1:2" ht="15.75" customHeight="1" x14ac:dyDescent="0.45">
      <c r="A642" s="33"/>
      <c r="B642" s="67"/>
    </row>
    <row r="643" spans="1:2" ht="15.75" customHeight="1" x14ac:dyDescent="0.45">
      <c r="A643" s="33"/>
      <c r="B643" s="67"/>
    </row>
    <row r="644" spans="1:2" ht="15.75" customHeight="1" x14ac:dyDescent="0.45">
      <c r="A644" s="33"/>
      <c r="B644" s="67"/>
    </row>
    <row r="645" spans="1:2" ht="15.75" customHeight="1" x14ac:dyDescent="0.45">
      <c r="A645" s="33"/>
      <c r="B645" s="67"/>
    </row>
    <row r="646" spans="1:2" ht="15.75" customHeight="1" x14ac:dyDescent="0.45">
      <c r="A646" s="33"/>
      <c r="B646" s="67"/>
    </row>
    <row r="647" spans="1:2" ht="15.75" customHeight="1" x14ac:dyDescent="0.45">
      <c r="A647" s="33"/>
      <c r="B647" s="67"/>
    </row>
    <row r="648" spans="1:2" ht="15.75" customHeight="1" x14ac:dyDescent="0.45">
      <c r="A648" s="33"/>
      <c r="B648" s="67"/>
    </row>
    <row r="649" spans="1:2" ht="15.75" customHeight="1" x14ac:dyDescent="0.45">
      <c r="A649" s="33"/>
      <c r="B649" s="67"/>
    </row>
    <row r="650" spans="1:2" ht="15.75" customHeight="1" x14ac:dyDescent="0.45">
      <c r="A650" s="33"/>
      <c r="B650" s="67"/>
    </row>
    <row r="651" spans="1:2" ht="15.75" customHeight="1" x14ac:dyDescent="0.45">
      <c r="A651" s="33"/>
      <c r="B651" s="67"/>
    </row>
    <row r="652" spans="1:2" ht="15.75" customHeight="1" x14ac:dyDescent="0.45">
      <c r="A652" s="33"/>
      <c r="B652" s="67"/>
    </row>
    <row r="653" spans="1:2" ht="15.75" customHeight="1" x14ac:dyDescent="0.45">
      <c r="A653" s="33"/>
      <c r="B653" s="67"/>
    </row>
    <row r="654" spans="1:2" ht="15.75" customHeight="1" x14ac:dyDescent="0.45">
      <c r="A654" s="33"/>
      <c r="B654" s="67"/>
    </row>
    <row r="655" spans="1:2" ht="15.75" customHeight="1" x14ac:dyDescent="0.45">
      <c r="A655" s="33"/>
      <c r="B655" s="67"/>
    </row>
    <row r="656" spans="1:2" ht="15.75" customHeight="1" x14ac:dyDescent="0.45">
      <c r="A656" s="33"/>
      <c r="B656" s="67"/>
    </row>
    <row r="657" spans="1:2" ht="15.75" customHeight="1" x14ac:dyDescent="0.45">
      <c r="A657" s="33"/>
      <c r="B657" s="67"/>
    </row>
    <row r="658" spans="1:2" ht="15.75" customHeight="1" x14ac:dyDescent="0.45">
      <c r="A658" s="33"/>
      <c r="B658" s="67"/>
    </row>
    <row r="659" spans="1:2" ht="15.75" customHeight="1" x14ac:dyDescent="0.45">
      <c r="A659" s="33"/>
      <c r="B659" s="67"/>
    </row>
    <row r="660" spans="1:2" ht="15.75" customHeight="1" x14ac:dyDescent="0.45">
      <c r="A660" s="33"/>
      <c r="B660" s="67"/>
    </row>
    <row r="661" spans="1:2" ht="15.75" customHeight="1" x14ac:dyDescent="0.45">
      <c r="A661" s="33"/>
      <c r="B661" s="67"/>
    </row>
    <row r="662" spans="1:2" ht="15.75" customHeight="1" x14ac:dyDescent="0.45">
      <c r="A662" s="33"/>
      <c r="B662" s="67"/>
    </row>
    <row r="663" spans="1:2" ht="15.75" customHeight="1" x14ac:dyDescent="0.45">
      <c r="A663" s="33"/>
      <c r="B663" s="67"/>
    </row>
    <row r="664" spans="1:2" ht="15.75" customHeight="1" x14ac:dyDescent="0.45">
      <c r="A664" s="33"/>
      <c r="B664" s="67"/>
    </row>
    <row r="665" spans="1:2" ht="15.75" customHeight="1" x14ac:dyDescent="0.45">
      <c r="A665" s="33"/>
      <c r="B665" s="67"/>
    </row>
    <row r="666" spans="1:2" ht="15.75" customHeight="1" x14ac:dyDescent="0.45">
      <c r="A666" s="33"/>
      <c r="B666" s="67"/>
    </row>
    <row r="667" spans="1:2" ht="15.75" customHeight="1" x14ac:dyDescent="0.45">
      <c r="A667" s="33"/>
      <c r="B667" s="67"/>
    </row>
    <row r="668" spans="1:2" ht="15.75" customHeight="1" x14ac:dyDescent="0.45">
      <c r="A668" s="33"/>
      <c r="B668" s="67"/>
    </row>
    <row r="669" spans="1:2" ht="15.75" customHeight="1" x14ac:dyDescent="0.45">
      <c r="A669" s="33"/>
      <c r="B669" s="67"/>
    </row>
    <row r="670" spans="1:2" ht="15.75" customHeight="1" x14ac:dyDescent="0.45">
      <c r="A670" s="33"/>
      <c r="B670" s="67"/>
    </row>
    <row r="671" spans="1:2" ht="15.75" customHeight="1" x14ac:dyDescent="0.45">
      <c r="A671" s="33"/>
      <c r="B671" s="67"/>
    </row>
    <row r="672" spans="1:2" ht="15.75" customHeight="1" x14ac:dyDescent="0.45">
      <c r="A672" s="33"/>
      <c r="B672" s="67"/>
    </row>
    <row r="673" spans="1:2" ht="15.75" customHeight="1" x14ac:dyDescent="0.45">
      <c r="A673" s="33"/>
      <c r="B673" s="67"/>
    </row>
    <row r="674" spans="1:2" ht="15.75" customHeight="1" x14ac:dyDescent="0.45">
      <c r="A674" s="33"/>
      <c r="B674" s="67"/>
    </row>
    <row r="675" spans="1:2" ht="15.75" customHeight="1" x14ac:dyDescent="0.45">
      <c r="A675" s="33"/>
      <c r="B675" s="67"/>
    </row>
    <row r="676" spans="1:2" ht="15.75" customHeight="1" x14ac:dyDescent="0.45">
      <c r="A676" s="33"/>
      <c r="B676" s="67"/>
    </row>
    <row r="677" spans="1:2" ht="15.75" customHeight="1" x14ac:dyDescent="0.45">
      <c r="A677" s="33"/>
      <c r="B677" s="67"/>
    </row>
    <row r="678" spans="1:2" ht="15.75" customHeight="1" x14ac:dyDescent="0.45">
      <c r="A678" s="33"/>
      <c r="B678" s="67"/>
    </row>
    <row r="679" spans="1:2" ht="15.75" customHeight="1" x14ac:dyDescent="0.45">
      <c r="A679" s="33"/>
      <c r="B679" s="67"/>
    </row>
    <row r="680" spans="1:2" ht="15.75" customHeight="1" x14ac:dyDescent="0.45">
      <c r="A680" s="33"/>
      <c r="B680" s="67"/>
    </row>
    <row r="681" spans="1:2" ht="15.75" customHeight="1" x14ac:dyDescent="0.45">
      <c r="A681" s="33"/>
      <c r="B681" s="67"/>
    </row>
    <row r="682" spans="1:2" ht="15.75" customHeight="1" x14ac:dyDescent="0.45">
      <c r="A682" s="33"/>
      <c r="B682" s="67"/>
    </row>
    <row r="683" spans="1:2" ht="15.75" customHeight="1" x14ac:dyDescent="0.45">
      <c r="A683" s="33"/>
      <c r="B683" s="67"/>
    </row>
    <row r="684" spans="1:2" ht="15.75" customHeight="1" x14ac:dyDescent="0.45">
      <c r="A684" s="33"/>
      <c r="B684" s="67"/>
    </row>
    <row r="685" spans="1:2" ht="15.75" customHeight="1" x14ac:dyDescent="0.45">
      <c r="A685" s="33"/>
      <c r="B685" s="67"/>
    </row>
    <row r="686" spans="1:2" ht="15.75" customHeight="1" x14ac:dyDescent="0.45">
      <c r="A686" s="33"/>
      <c r="B686" s="67"/>
    </row>
    <row r="687" spans="1:2" ht="15.75" customHeight="1" x14ac:dyDescent="0.45">
      <c r="A687" s="33"/>
      <c r="B687" s="67"/>
    </row>
    <row r="688" spans="1:2" ht="15.75" customHeight="1" x14ac:dyDescent="0.45">
      <c r="A688" s="33"/>
      <c r="B688" s="67"/>
    </row>
    <row r="689" spans="1:2" ht="15.75" customHeight="1" x14ac:dyDescent="0.45">
      <c r="A689" s="33"/>
      <c r="B689" s="67"/>
    </row>
    <row r="690" spans="1:2" ht="15.75" customHeight="1" x14ac:dyDescent="0.45">
      <c r="A690" s="33"/>
      <c r="B690" s="67"/>
    </row>
    <row r="691" spans="1:2" ht="15.75" customHeight="1" x14ac:dyDescent="0.45">
      <c r="A691" s="33"/>
      <c r="B691" s="67"/>
    </row>
    <row r="692" spans="1:2" ht="15.75" customHeight="1" x14ac:dyDescent="0.45">
      <c r="A692" s="33"/>
      <c r="B692" s="67"/>
    </row>
    <row r="693" spans="1:2" ht="15.75" customHeight="1" x14ac:dyDescent="0.45">
      <c r="A693" s="33"/>
      <c r="B693" s="67"/>
    </row>
    <row r="694" spans="1:2" ht="15.75" customHeight="1" x14ac:dyDescent="0.45">
      <c r="A694" s="33"/>
      <c r="B694" s="67"/>
    </row>
    <row r="695" spans="1:2" ht="15.75" customHeight="1" x14ac:dyDescent="0.45">
      <c r="A695" s="33"/>
      <c r="B695" s="67"/>
    </row>
    <row r="696" spans="1:2" ht="15.75" customHeight="1" x14ac:dyDescent="0.45">
      <c r="A696" s="33"/>
      <c r="B696" s="67"/>
    </row>
    <row r="697" spans="1:2" ht="15.75" customHeight="1" x14ac:dyDescent="0.45">
      <c r="A697" s="33"/>
      <c r="B697" s="67"/>
    </row>
    <row r="698" spans="1:2" ht="15.75" customHeight="1" x14ac:dyDescent="0.45">
      <c r="A698" s="33"/>
      <c r="B698" s="67"/>
    </row>
    <row r="699" spans="1:2" ht="15.75" customHeight="1" x14ac:dyDescent="0.45">
      <c r="A699" s="33"/>
      <c r="B699" s="67"/>
    </row>
    <row r="700" spans="1:2" ht="15.75" customHeight="1" x14ac:dyDescent="0.45">
      <c r="A700" s="33"/>
      <c r="B700" s="67"/>
    </row>
    <row r="701" spans="1:2" ht="15.75" customHeight="1" x14ac:dyDescent="0.45">
      <c r="A701" s="33"/>
      <c r="B701" s="67"/>
    </row>
    <row r="702" spans="1:2" ht="15.75" customHeight="1" x14ac:dyDescent="0.45">
      <c r="A702" s="33"/>
      <c r="B702" s="67"/>
    </row>
    <row r="703" spans="1:2" ht="15.75" customHeight="1" x14ac:dyDescent="0.45">
      <c r="A703" s="33"/>
      <c r="B703" s="67"/>
    </row>
    <row r="704" spans="1:2" ht="15.75" customHeight="1" x14ac:dyDescent="0.45">
      <c r="A704" s="33"/>
      <c r="B704" s="67"/>
    </row>
    <row r="705" spans="1:2" ht="15.75" customHeight="1" x14ac:dyDescent="0.45">
      <c r="A705" s="33"/>
      <c r="B705" s="67"/>
    </row>
    <row r="706" spans="1:2" ht="15.75" customHeight="1" x14ac:dyDescent="0.45">
      <c r="A706" s="33"/>
      <c r="B706" s="67"/>
    </row>
    <row r="707" spans="1:2" ht="15.75" customHeight="1" x14ac:dyDescent="0.45">
      <c r="A707" s="33"/>
      <c r="B707" s="67"/>
    </row>
    <row r="708" spans="1:2" ht="15.75" customHeight="1" x14ac:dyDescent="0.45">
      <c r="A708" s="33"/>
      <c r="B708" s="67"/>
    </row>
    <row r="709" spans="1:2" ht="15.75" customHeight="1" x14ac:dyDescent="0.45">
      <c r="A709" s="33"/>
      <c r="B709" s="67"/>
    </row>
    <row r="710" spans="1:2" ht="15.75" customHeight="1" x14ac:dyDescent="0.45">
      <c r="A710" s="33"/>
      <c r="B710" s="67"/>
    </row>
    <row r="711" spans="1:2" ht="15.75" customHeight="1" x14ac:dyDescent="0.45">
      <c r="A711" s="33"/>
      <c r="B711" s="67"/>
    </row>
    <row r="712" spans="1:2" ht="15.75" customHeight="1" x14ac:dyDescent="0.45">
      <c r="A712" s="33"/>
      <c r="B712" s="67"/>
    </row>
    <row r="713" spans="1:2" ht="15.75" customHeight="1" x14ac:dyDescent="0.45">
      <c r="A713" s="33"/>
      <c r="B713" s="67"/>
    </row>
    <row r="714" spans="1:2" ht="15.75" customHeight="1" x14ac:dyDescent="0.45">
      <c r="A714" s="33"/>
      <c r="B714" s="67"/>
    </row>
    <row r="715" spans="1:2" ht="15.75" customHeight="1" x14ac:dyDescent="0.45">
      <c r="A715" s="33"/>
      <c r="B715" s="67"/>
    </row>
    <row r="716" spans="1:2" ht="15.75" customHeight="1" x14ac:dyDescent="0.45">
      <c r="A716" s="33"/>
      <c r="B716" s="67"/>
    </row>
    <row r="717" spans="1:2" ht="15.75" customHeight="1" x14ac:dyDescent="0.45">
      <c r="A717" s="33"/>
      <c r="B717" s="67"/>
    </row>
    <row r="718" spans="1:2" ht="15.75" customHeight="1" x14ac:dyDescent="0.45">
      <c r="A718" s="33"/>
      <c r="B718" s="67"/>
    </row>
    <row r="719" spans="1:2" ht="15.75" customHeight="1" x14ac:dyDescent="0.45">
      <c r="A719" s="33"/>
      <c r="B719" s="67"/>
    </row>
    <row r="720" spans="1:2" ht="15.75" customHeight="1" x14ac:dyDescent="0.45">
      <c r="A720" s="33"/>
      <c r="B720" s="67"/>
    </row>
    <row r="721" spans="1:2" ht="15.75" customHeight="1" x14ac:dyDescent="0.45">
      <c r="A721" s="33"/>
      <c r="B721" s="67"/>
    </row>
    <row r="722" spans="1:2" ht="15.75" customHeight="1" x14ac:dyDescent="0.45">
      <c r="A722" s="33"/>
      <c r="B722" s="67"/>
    </row>
    <row r="723" spans="1:2" ht="15.75" customHeight="1" x14ac:dyDescent="0.45">
      <c r="A723" s="33"/>
      <c r="B723" s="67"/>
    </row>
    <row r="724" spans="1:2" ht="15.75" customHeight="1" x14ac:dyDescent="0.45">
      <c r="A724" s="33"/>
      <c r="B724" s="67"/>
    </row>
    <row r="725" spans="1:2" ht="15.75" customHeight="1" x14ac:dyDescent="0.45">
      <c r="A725" s="33"/>
      <c r="B725" s="67"/>
    </row>
    <row r="726" spans="1:2" ht="15.75" customHeight="1" x14ac:dyDescent="0.45">
      <c r="A726" s="33"/>
      <c r="B726" s="67"/>
    </row>
    <row r="727" spans="1:2" ht="15.75" customHeight="1" x14ac:dyDescent="0.45">
      <c r="A727" s="33"/>
      <c r="B727" s="67"/>
    </row>
    <row r="728" spans="1:2" ht="15.75" customHeight="1" x14ac:dyDescent="0.45">
      <c r="A728" s="33"/>
      <c r="B728" s="67"/>
    </row>
    <row r="729" spans="1:2" ht="15.75" customHeight="1" x14ac:dyDescent="0.45">
      <c r="A729" s="33"/>
      <c r="B729" s="67"/>
    </row>
    <row r="730" spans="1:2" ht="15.75" customHeight="1" x14ac:dyDescent="0.45">
      <c r="A730" s="33"/>
      <c r="B730" s="67"/>
    </row>
    <row r="731" spans="1:2" ht="15.75" customHeight="1" x14ac:dyDescent="0.45">
      <c r="A731" s="33"/>
      <c r="B731" s="67"/>
    </row>
    <row r="732" spans="1:2" ht="15.75" customHeight="1" x14ac:dyDescent="0.45">
      <c r="A732" s="33"/>
      <c r="B732" s="67"/>
    </row>
    <row r="733" spans="1:2" ht="15.75" customHeight="1" x14ac:dyDescent="0.45">
      <c r="A733" s="33"/>
      <c r="B733" s="67"/>
    </row>
    <row r="734" spans="1:2" ht="15.75" customHeight="1" x14ac:dyDescent="0.45">
      <c r="A734" s="33"/>
      <c r="B734" s="67"/>
    </row>
    <row r="735" spans="1:2" ht="15.75" customHeight="1" x14ac:dyDescent="0.45">
      <c r="A735" s="33"/>
      <c r="B735" s="67"/>
    </row>
    <row r="736" spans="1:2" ht="15.75" customHeight="1" x14ac:dyDescent="0.45">
      <c r="A736" s="33"/>
      <c r="B736" s="67"/>
    </row>
    <row r="737" spans="1:2" ht="15.75" customHeight="1" x14ac:dyDescent="0.45">
      <c r="A737" s="33"/>
      <c r="B737" s="67"/>
    </row>
    <row r="738" spans="1:2" ht="15.75" customHeight="1" x14ac:dyDescent="0.45">
      <c r="A738" s="33"/>
      <c r="B738" s="67"/>
    </row>
    <row r="739" spans="1:2" ht="15.75" customHeight="1" x14ac:dyDescent="0.45">
      <c r="A739" s="33"/>
      <c r="B739" s="67"/>
    </row>
    <row r="740" spans="1:2" ht="15.75" customHeight="1" x14ac:dyDescent="0.45">
      <c r="A740" s="33"/>
      <c r="B740" s="67"/>
    </row>
    <row r="741" spans="1:2" ht="15.75" customHeight="1" x14ac:dyDescent="0.45">
      <c r="A741" s="33"/>
      <c r="B741" s="67"/>
    </row>
    <row r="742" spans="1:2" ht="15.75" customHeight="1" x14ac:dyDescent="0.45">
      <c r="A742" s="33"/>
      <c r="B742" s="67"/>
    </row>
    <row r="743" spans="1:2" ht="15.75" customHeight="1" x14ac:dyDescent="0.45">
      <c r="A743" s="33"/>
      <c r="B743" s="67"/>
    </row>
    <row r="744" spans="1:2" ht="15.75" customHeight="1" x14ac:dyDescent="0.45">
      <c r="A744" s="33"/>
      <c r="B744" s="67"/>
    </row>
    <row r="745" spans="1:2" ht="15.75" customHeight="1" x14ac:dyDescent="0.45">
      <c r="A745" s="33"/>
      <c r="B745" s="67"/>
    </row>
    <row r="746" spans="1:2" ht="15.75" customHeight="1" x14ac:dyDescent="0.45">
      <c r="A746" s="33"/>
      <c r="B746" s="67"/>
    </row>
    <row r="747" spans="1:2" ht="15.75" customHeight="1" x14ac:dyDescent="0.45">
      <c r="A747" s="33"/>
      <c r="B747" s="67"/>
    </row>
    <row r="748" spans="1:2" ht="15.75" customHeight="1" x14ac:dyDescent="0.45">
      <c r="A748" s="33"/>
      <c r="B748" s="67"/>
    </row>
    <row r="749" spans="1:2" ht="15.75" customHeight="1" x14ac:dyDescent="0.45">
      <c r="A749" s="33"/>
      <c r="B749" s="67"/>
    </row>
    <row r="750" spans="1:2" ht="15.75" customHeight="1" x14ac:dyDescent="0.45">
      <c r="A750" s="33"/>
      <c r="B750" s="67"/>
    </row>
    <row r="751" spans="1:2" ht="15.75" customHeight="1" x14ac:dyDescent="0.45">
      <c r="A751" s="33"/>
      <c r="B751" s="67"/>
    </row>
    <row r="752" spans="1:2" ht="15.75" customHeight="1" x14ac:dyDescent="0.45">
      <c r="A752" s="33"/>
      <c r="B752" s="67"/>
    </row>
    <row r="753" spans="1:2" ht="15.75" customHeight="1" x14ac:dyDescent="0.45">
      <c r="A753" s="33"/>
      <c r="B753" s="67"/>
    </row>
    <row r="754" spans="1:2" ht="15.75" customHeight="1" x14ac:dyDescent="0.45">
      <c r="A754" s="33"/>
      <c r="B754" s="67"/>
    </row>
    <row r="755" spans="1:2" ht="15.75" customHeight="1" x14ac:dyDescent="0.45">
      <c r="A755" s="33"/>
      <c r="B755" s="67"/>
    </row>
    <row r="756" spans="1:2" ht="15.75" customHeight="1" x14ac:dyDescent="0.45">
      <c r="A756" s="33"/>
      <c r="B756" s="67"/>
    </row>
    <row r="757" spans="1:2" ht="15.75" customHeight="1" x14ac:dyDescent="0.45">
      <c r="A757" s="33"/>
      <c r="B757" s="67"/>
    </row>
    <row r="758" spans="1:2" ht="15.75" customHeight="1" x14ac:dyDescent="0.45">
      <c r="A758" s="33"/>
      <c r="B758" s="67"/>
    </row>
    <row r="759" spans="1:2" ht="15.75" customHeight="1" x14ac:dyDescent="0.45">
      <c r="A759" s="33"/>
      <c r="B759" s="67"/>
    </row>
    <row r="760" spans="1:2" ht="15.75" customHeight="1" x14ac:dyDescent="0.45">
      <c r="A760" s="33"/>
      <c r="B760" s="67"/>
    </row>
    <row r="761" spans="1:2" ht="15.75" customHeight="1" x14ac:dyDescent="0.45">
      <c r="A761" s="33"/>
      <c r="B761" s="67"/>
    </row>
    <row r="762" spans="1:2" ht="15.75" customHeight="1" x14ac:dyDescent="0.45">
      <c r="A762" s="33"/>
      <c r="B762" s="67"/>
    </row>
    <row r="763" spans="1:2" ht="15.75" customHeight="1" x14ac:dyDescent="0.45">
      <c r="A763" s="33"/>
      <c r="B763" s="67"/>
    </row>
    <row r="764" spans="1:2" ht="15.75" customHeight="1" x14ac:dyDescent="0.45">
      <c r="A764" s="33"/>
      <c r="B764" s="67"/>
    </row>
    <row r="765" spans="1:2" ht="15.75" customHeight="1" x14ac:dyDescent="0.45">
      <c r="A765" s="33"/>
      <c r="B765" s="67"/>
    </row>
    <row r="766" spans="1:2" ht="15.75" customHeight="1" x14ac:dyDescent="0.45">
      <c r="A766" s="33"/>
      <c r="B766" s="67"/>
    </row>
    <row r="767" spans="1:2" ht="15.75" customHeight="1" x14ac:dyDescent="0.45">
      <c r="A767" s="33"/>
      <c r="B767" s="67"/>
    </row>
    <row r="768" spans="1:2" ht="15.75" customHeight="1" x14ac:dyDescent="0.45">
      <c r="A768" s="33"/>
      <c r="B768" s="67"/>
    </row>
    <row r="769" spans="1:2" ht="15.75" customHeight="1" x14ac:dyDescent="0.45">
      <c r="A769" s="33"/>
      <c r="B769" s="67"/>
    </row>
    <row r="770" spans="1:2" ht="15.75" customHeight="1" x14ac:dyDescent="0.45">
      <c r="A770" s="33"/>
      <c r="B770" s="67"/>
    </row>
    <row r="771" spans="1:2" ht="15.75" customHeight="1" x14ac:dyDescent="0.45">
      <c r="A771" s="33"/>
      <c r="B771" s="67"/>
    </row>
    <row r="772" spans="1:2" ht="15.75" customHeight="1" x14ac:dyDescent="0.45">
      <c r="A772" s="33"/>
      <c r="B772" s="67"/>
    </row>
    <row r="773" spans="1:2" ht="15.75" customHeight="1" x14ac:dyDescent="0.45">
      <c r="A773" s="33"/>
      <c r="B773" s="67"/>
    </row>
    <row r="774" spans="1:2" ht="15.75" customHeight="1" x14ac:dyDescent="0.45">
      <c r="A774" s="33"/>
      <c r="B774" s="67"/>
    </row>
    <row r="775" spans="1:2" ht="15.75" customHeight="1" x14ac:dyDescent="0.45">
      <c r="A775" s="33"/>
      <c r="B775" s="67"/>
    </row>
    <row r="776" spans="1:2" ht="15.75" customHeight="1" x14ac:dyDescent="0.45">
      <c r="A776" s="33"/>
      <c r="B776" s="67"/>
    </row>
    <row r="777" spans="1:2" ht="15.75" customHeight="1" x14ac:dyDescent="0.45">
      <c r="A777" s="33"/>
      <c r="B777" s="67"/>
    </row>
    <row r="778" spans="1:2" ht="15.75" customHeight="1" x14ac:dyDescent="0.45">
      <c r="A778" s="33"/>
      <c r="B778" s="67"/>
    </row>
    <row r="779" spans="1:2" ht="15.75" customHeight="1" x14ac:dyDescent="0.45">
      <c r="A779" s="33"/>
      <c r="B779" s="67"/>
    </row>
    <row r="780" spans="1:2" ht="15.75" customHeight="1" x14ac:dyDescent="0.45">
      <c r="A780" s="33"/>
      <c r="B780" s="67"/>
    </row>
    <row r="781" spans="1:2" ht="15.75" customHeight="1" x14ac:dyDescent="0.45">
      <c r="A781" s="33"/>
      <c r="B781" s="67"/>
    </row>
    <row r="782" spans="1:2" ht="15.75" customHeight="1" x14ac:dyDescent="0.45">
      <c r="A782" s="33"/>
      <c r="B782" s="67"/>
    </row>
    <row r="783" spans="1:2" ht="15.75" customHeight="1" x14ac:dyDescent="0.45">
      <c r="A783" s="33"/>
      <c r="B783" s="67"/>
    </row>
    <row r="784" spans="1:2" ht="15.75" customHeight="1" x14ac:dyDescent="0.45">
      <c r="A784" s="33"/>
      <c r="B784" s="67"/>
    </row>
    <row r="785" spans="1:2" ht="15.75" customHeight="1" x14ac:dyDescent="0.45">
      <c r="A785" s="33"/>
      <c r="B785" s="67"/>
    </row>
    <row r="786" spans="1:2" ht="15.75" customHeight="1" x14ac:dyDescent="0.45">
      <c r="A786" s="33"/>
      <c r="B786" s="67"/>
    </row>
    <row r="787" spans="1:2" ht="15.75" customHeight="1" x14ac:dyDescent="0.45">
      <c r="A787" s="33"/>
      <c r="B787" s="67"/>
    </row>
    <row r="788" spans="1:2" ht="15.75" customHeight="1" x14ac:dyDescent="0.45">
      <c r="A788" s="33"/>
      <c r="B788" s="67"/>
    </row>
    <row r="789" spans="1:2" ht="15.75" customHeight="1" x14ac:dyDescent="0.45">
      <c r="A789" s="33"/>
      <c r="B789" s="67"/>
    </row>
    <row r="790" spans="1:2" ht="15.75" customHeight="1" x14ac:dyDescent="0.45">
      <c r="A790" s="33"/>
      <c r="B790" s="67"/>
    </row>
    <row r="791" spans="1:2" ht="15.75" customHeight="1" x14ac:dyDescent="0.45">
      <c r="A791" s="33"/>
      <c r="B791" s="67"/>
    </row>
    <row r="792" spans="1:2" ht="15.75" customHeight="1" x14ac:dyDescent="0.45">
      <c r="A792" s="33"/>
      <c r="B792" s="67"/>
    </row>
    <row r="793" spans="1:2" ht="15.75" customHeight="1" x14ac:dyDescent="0.45">
      <c r="A793" s="33"/>
      <c r="B793" s="67"/>
    </row>
    <row r="794" spans="1:2" ht="15.75" customHeight="1" x14ac:dyDescent="0.45">
      <c r="A794" s="33"/>
      <c r="B794" s="67"/>
    </row>
    <row r="795" spans="1:2" ht="15.75" customHeight="1" x14ac:dyDescent="0.45">
      <c r="A795" s="33"/>
      <c r="B795" s="67"/>
    </row>
    <row r="796" spans="1:2" ht="15.75" customHeight="1" x14ac:dyDescent="0.45">
      <c r="A796" s="33"/>
      <c r="B796" s="67"/>
    </row>
    <row r="797" spans="1:2" ht="15.75" customHeight="1" x14ac:dyDescent="0.45">
      <c r="A797" s="33"/>
      <c r="B797" s="67"/>
    </row>
    <row r="798" spans="1:2" ht="15.75" customHeight="1" x14ac:dyDescent="0.45">
      <c r="A798" s="33"/>
      <c r="B798" s="67"/>
    </row>
    <row r="799" spans="1:2" ht="15.75" customHeight="1" x14ac:dyDescent="0.45">
      <c r="A799" s="33"/>
      <c r="B799" s="67"/>
    </row>
    <row r="800" spans="1:2" ht="15.75" customHeight="1" x14ac:dyDescent="0.45">
      <c r="A800" s="33"/>
      <c r="B800" s="67"/>
    </row>
    <row r="801" spans="1:2" ht="15.75" customHeight="1" x14ac:dyDescent="0.45">
      <c r="A801" s="33"/>
      <c r="B801" s="67"/>
    </row>
    <row r="802" spans="1:2" ht="15.75" customHeight="1" x14ac:dyDescent="0.45">
      <c r="A802" s="33"/>
      <c r="B802" s="67"/>
    </row>
    <row r="803" spans="1:2" ht="15.75" customHeight="1" x14ac:dyDescent="0.45">
      <c r="A803" s="33"/>
      <c r="B803" s="67"/>
    </row>
    <row r="804" spans="1:2" ht="15.75" customHeight="1" x14ac:dyDescent="0.45">
      <c r="A804" s="33"/>
      <c r="B804" s="67"/>
    </row>
    <row r="805" spans="1:2" ht="15.75" customHeight="1" x14ac:dyDescent="0.45">
      <c r="A805" s="33"/>
      <c r="B805" s="67"/>
    </row>
    <row r="806" spans="1:2" ht="15.75" customHeight="1" x14ac:dyDescent="0.45">
      <c r="A806" s="33"/>
      <c r="B806" s="67"/>
    </row>
    <row r="807" spans="1:2" ht="15.75" customHeight="1" x14ac:dyDescent="0.45">
      <c r="A807" s="33"/>
      <c r="B807" s="67"/>
    </row>
    <row r="808" spans="1:2" ht="15.75" customHeight="1" x14ac:dyDescent="0.45">
      <c r="A808" s="33"/>
      <c r="B808" s="67"/>
    </row>
    <row r="809" spans="1:2" ht="15.75" customHeight="1" x14ac:dyDescent="0.45">
      <c r="A809" s="33"/>
      <c r="B809" s="67"/>
    </row>
    <row r="810" spans="1:2" ht="15.75" customHeight="1" x14ac:dyDescent="0.45">
      <c r="A810" s="33"/>
      <c r="B810" s="67"/>
    </row>
    <row r="811" spans="1:2" ht="15.75" customHeight="1" x14ac:dyDescent="0.45">
      <c r="A811" s="33"/>
      <c r="B811" s="67"/>
    </row>
    <row r="812" spans="1:2" ht="15.75" customHeight="1" x14ac:dyDescent="0.45">
      <c r="A812" s="33"/>
      <c r="B812" s="67"/>
    </row>
    <row r="813" spans="1:2" ht="15.75" customHeight="1" x14ac:dyDescent="0.45">
      <c r="A813" s="33"/>
      <c r="B813" s="67"/>
    </row>
    <row r="814" spans="1:2" ht="15.75" customHeight="1" x14ac:dyDescent="0.45">
      <c r="A814" s="33"/>
      <c r="B814" s="67"/>
    </row>
    <row r="815" spans="1:2" ht="15.75" customHeight="1" x14ac:dyDescent="0.45">
      <c r="A815" s="33"/>
      <c r="B815" s="67"/>
    </row>
    <row r="816" spans="1:2" ht="15.75" customHeight="1" x14ac:dyDescent="0.45">
      <c r="A816" s="33"/>
      <c r="B816" s="67"/>
    </row>
    <row r="817" spans="1:2" ht="15.75" customHeight="1" x14ac:dyDescent="0.45">
      <c r="A817" s="33"/>
      <c r="B817" s="67"/>
    </row>
    <row r="818" spans="1:2" ht="15.75" customHeight="1" x14ac:dyDescent="0.45">
      <c r="A818" s="33"/>
      <c r="B818" s="67"/>
    </row>
    <row r="819" spans="1:2" ht="15.75" customHeight="1" x14ac:dyDescent="0.45">
      <c r="A819" s="33"/>
      <c r="B819" s="67"/>
    </row>
    <row r="820" spans="1:2" ht="15.75" customHeight="1" x14ac:dyDescent="0.45">
      <c r="A820" s="33"/>
      <c r="B820" s="67"/>
    </row>
    <row r="821" spans="1:2" ht="15.75" customHeight="1" x14ac:dyDescent="0.45">
      <c r="A821" s="33"/>
      <c r="B821" s="67"/>
    </row>
    <row r="822" spans="1:2" ht="15.75" customHeight="1" x14ac:dyDescent="0.45">
      <c r="A822" s="33"/>
      <c r="B822" s="67"/>
    </row>
    <row r="823" spans="1:2" ht="15.75" customHeight="1" x14ac:dyDescent="0.45">
      <c r="A823" s="33"/>
      <c r="B823" s="67"/>
    </row>
    <row r="824" spans="1:2" ht="15.75" customHeight="1" x14ac:dyDescent="0.45">
      <c r="A824" s="33"/>
      <c r="B824" s="67"/>
    </row>
    <row r="825" spans="1:2" ht="15.75" customHeight="1" x14ac:dyDescent="0.45">
      <c r="A825" s="33"/>
      <c r="B825" s="67"/>
    </row>
    <row r="826" spans="1:2" ht="15.75" customHeight="1" x14ac:dyDescent="0.45">
      <c r="A826" s="33"/>
      <c r="B826" s="67"/>
    </row>
    <row r="827" spans="1:2" ht="15.75" customHeight="1" x14ac:dyDescent="0.45">
      <c r="A827" s="33"/>
      <c r="B827" s="67"/>
    </row>
    <row r="828" spans="1:2" ht="15.75" customHeight="1" x14ac:dyDescent="0.45">
      <c r="A828" s="33"/>
      <c r="B828" s="67"/>
    </row>
    <row r="829" spans="1:2" ht="15.75" customHeight="1" x14ac:dyDescent="0.45">
      <c r="A829" s="33"/>
      <c r="B829" s="67"/>
    </row>
    <row r="830" spans="1:2" ht="15.75" customHeight="1" x14ac:dyDescent="0.45">
      <c r="A830" s="33"/>
      <c r="B830" s="67"/>
    </row>
    <row r="831" spans="1:2" ht="15.75" customHeight="1" x14ac:dyDescent="0.45">
      <c r="A831" s="33"/>
      <c r="B831" s="67"/>
    </row>
    <row r="832" spans="1:2" ht="15.75" customHeight="1" x14ac:dyDescent="0.45">
      <c r="A832" s="33"/>
      <c r="B832" s="67"/>
    </row>
    <row r="833" spans="1:2" ht="15.75" customHeight="1" x14ac:dyDescent="0.45">
      <c r="A833" s="33"/>
      <c r="B833" s="67"/>
    </row>
    <row r="834" spans="1:2" ht="15.75" customHeight="1" x14ac:dyDescent="0.45">
      <c r="A834" s="33"/>
      <c r="B834" s="67"/>
    </row>
    <row r="835" spans="1:2" ht="15.75" customHeight="1" x14ac:dyDescent="0.45">
      <c r="A835" s="33"/>
      <c r="B835" s="67"/>
    </row>
    <row r="836" spans="1:2" ht="15.75" customHeight="1" x14ac:dyDescent="0.45">
      <c r="A836" s="33"/>
      <c r="B836" s="67"/>
    </row>
    <row r="837" spans="1:2" ht="15.75" customHeight="1" x14ac:dyDescent="0.45">
      <c r="A837" s="33"/>
      <c r="B837" s="67"/>
    </row>
    <row r="838" spans="1:2" ht="15.75" customHeight="1" x14ac:dyDescent="0.45">
      <c r="A838" s="33"/>
      <c r="B838" s="67"/>
    </row>
    <row r="839" spans="1:2" ht="15.75" customHeight="1" x14ac:dyDescent="0.45">
      <c r="A839" s="33"/>
      <c r="B839" s="67"/>
    </row>
    <row r="840" spans="1:2" ht="15.75" customHeight="1" x14ac:dyDescent="0.45">
      <c r="A840" s="33"/>
      <c r="B840" s="67"/>
    </row>
    <row r="841" spans="1:2" ht="15.75" customHeight="1" x14ac:dyDescent="0.45">
      <c r="A841" s="33"/>
      <c r="B841" s="67"/>
    </row>
    <row r="842" spans="1:2" ht="15.75" customHeight="1" x14ac:dyDescent="0.45">
      <c r="A842" s="33"/>
      <c r="B842" s="67"/>
    </row>
    <row r="843" spans="1:2" ht="15.75" customHeight="1" x14ac:dyDescent="0.45">
      <c r="A843" s="33"/>
      <c r="B843" s="67"/>
    </row>
    <row r="844" spans="1:2" ht="15.75" customHeight="1" x14ac:dyDescent="0.45">
      <c r="A844" s="33"/>
      <c r="B844" s="67"/>
    </row>
    <row r="845" spans="1:2" ht="15.75" customHeight="1" x14ac:dyDescent="0.45">
      <c r="A845" s="33"/>
      <c r="B845" s="67"/>
    </row>
    <row r="846" spans="1:2" ht="15.75" customHeight="1" x14ac:dyDescent="0.45">
      <c r="A846" s="33"/>
      <c r="B846" s="67"/>
    </row>
    <row r="847" spans="1:2" ht="15.75" customHeight="1" x14ac:dyDescent="0.45">
      <c r="A847" s="33"/>
      <c r="B847" s="67"/>
    </row>
    <row r="848" spans="1:2" ht="15.75" customHeight="1" x14ac:dyDescent="0.45">
      <c r="A848" s="33"/>
      <c r="B848" s="67"/>
    </row>
    <row r="849" spans="1:2" ht="15.75" customHeight="1" x14ac:dyDescent="0.45">
      <c r="A849" s="33"/>
      <c r="B849" s="67"/>
    </row>
    <row r="850" spans="1:2" ht="15.75" customHeight="1" x14ac:dyDescent="0.45">
      <c r="A850" s="33"/>
      <c r="B850" s="67"/>
    </row>
    <row r="851" spans="1:2" ht="15.75" customHeight="1" x14ac:dyDescent="0.45">
      <c r="A851" s="33"/>
      <c r="B851" s="67"/>
    </row>
    <row r="852" spans="1:2" ht="15.75" customHeight="1" x14ac:dyDescent="0.45">
      <c r="A852" s="33"/>
      <c r="B852" s="67"/>
    </row>
    <row r="853" spans="1:2" ht="15.75" customHeight="1" x14ac:dyDescent="0.45">
      <c r="A853" s="33"/>
      <c r="B853" s="67"/>
    </row>
    <row r="854" spans="1:2" ht="15.75" customHeight="1" x14ac:dyDescent="0.45">
      <c r="A854" s="33"/>
      <c r="B854" s="67"/>
    </row>
    <row r="855" spans="1:2" ht="15.75" customHeight="1" x14ac:dyDescent="0.45">
      <c r="A855" s="33"/>
      <c r="B855" s="67"/>
    </row>
    <row r="856" spans="1:2" ht="15.75" customHeight="1" x14ac:dyDescent="0.45">
      <c r="A856" s="33"/>
      <c r="B856" s="67"/>
    </row>
    <row r="857" spans="1:2" ht="15.75" customHeight="1" x14ac:dyDescent="0.45">
      <c r="A857" s="33"/>
      <c r="B857" s="67"/>
    </row>
    <row r="858" spans="1:2" ht="15.75" customHeight="1" x14ac:dyDescent="0.45">
      <c r="A858" s="33"/>
      <c r="B858" s="67"/>
    </row>
    <row r="859" spans="1:2" ht="15.75" customHeight="1" x14ac:dyDescent="0.45">
      <c r="A859" s="33"/>
      <c r="B859" s="67"/>
    </row>
    <row r="860" spans="1:2" ht="15.75" customHeight="1" x14ac:dyDescent="0.45">
      <c r="A860" s="33"/>
      <c r="B860" s="67"/>
    </row>
    <row r="861" spans="1:2" ht="15.75" customHeight="1" x14ac:dyDescent="0.45">
      <c r="A861" s="33"/>
      <c r="B861" s="67"/>
    </row>
    <row r="862" spans="1:2" ht="15.75" customHeight="1" x14ac:dyDescent="0.45">
      <c r="A862" s="33"/>
      <c r="B862" s="67"/>
    </row>
    <row r="863" spans="1:2" ht="15.75" customHeight="1" x14ac:dyDescent="0.45">
      <c r="A863" s="33"/>
      <c r="B863" s="67"/>
    </row>
    <row r="864" spans="1:2" ht="15.75" customHeight="1" x14ac:dyDescent="0.45">
      <c r="A864" s="33"/>
      <c r="B864" s="67"/>
    </row>
    <row r="865" spans="1:2" ht="15.75" customHeight="1" x14ac:dyDescent="0.45">
      <c r="A865" s="33"/>
      <c r="B865" s="67"/>
    </row>
    <row r="866" spans="1:2" ht="15.75" customHeight="1" x14ac:dyDescent="0.45">
      <c r="A866" s="33"/>
      <c r="B866" s="67"/>
    </row>
    <row r="867" spans="1:2" ht="15.75" customHeight="1" x14ac:dyDescent="0.45">
      <c r="A867" s="33"/>
      <c r="B867" s="67"/>
    </row>
    <row r="868" spans="1:2" ht="15.75" customHeight="1" x14ac:dyDescent="0.45">
      <c r="A868" s="33"/>
      <c r="B868" s="67"/>
    </row>
    <row r="869" spans="1:2" ht="15.75" customHeight="1" x14ac:dyDescent="0.45">
      <c r="A869" s="33"/>
      <c r="B869" s="67"/>
    </row>
    <row r="870" spans="1:2" ht="15.75" customHeight="1" x14ac:dyDescent="0.45">
      <c r="A870" s="33"/>
      <c r="B870" s="67"/>
    </row>
    <row r="871" spans="1:2" ht="15.75" customHeight="1" x14ac:dyDescent="0.45">
      <c r="A871" s="33"/>
      <c r="B871" s="67"/>
    </row>
    <row r="872" spans="1:2" ht="15.75" customHeight="1" x14ac:dyDescent="0.45">
      <c r="A872" s="33"/>
      <c r="B872" s="67"/>
    </row>
    <row r="873" spans="1:2" ht="15.75" customHeight="1" x14ac:dyDescent="0.45">
      <c r="A873" s="33"/>
      <c r="B873" s="67"/>
    </row>
    <row r="874" spans="1:2" ht="15.75" customHeight="1" x14ac:dyDescent="0.45">
      <c r="A874" s="33"/>
      <c r="B874" s="67"/>
    </row>
    <row r="875" spans="1:2" ht="15.75" customHeight="1" x14ac:dyDescent="0.45">
      <c r="A875" s="33"/>
      <c r="B875" s="67"/>
    </row>
    <row r="876" spans="1:2" ht="15.75" customHeight="1" x14ac:dyDescent="0.45">
      <c r="A876" s="33"/>
      <c r="B876" s="67"/>
    </row>
    <row r="877" spans="1:2" ht="15.75" customHeight="1" x14ac:dyDescent="0.45">
      <c r="A877" s="33"/>
      <c r="B877" s="67"/>
    </row>
    <row r="878" spans="1:2" ht="15.75" customHeight="1" x14ac:dyDescent="0.45">
      <c r="A878" s="33"/>
      <c r="B878" s="67"/>
    </row>
    <row r="879" spans="1:2" ht="15.75" customHeight="1" x14ac:dyDescent="0.45">
      <c r="A879" s="33"/>
      <c r="B879" s="67"/>
    </row>
    <row r="880" spans="1:2" ht="15.75" customHeight="1" x14ac:dyDescent="0.45">
      <c r="A880" s="33"/>
      <c r="B880" s="67"/>
    </row>
    <row r="881" spans="1:2" ht="15.75" customHeight="1" x14ac:dyDescent="0.45">
      <c r="A881" s="33"/>
      <c r="B881" s="67"/>
    </row>
    <row r="882" spans="1:2" ht="15.75" customHeight="1" x14ac:dyDescent="0.45">
      <c r="A882" s="33"/>
      <c r="B882" s="67"/>
    </row>
    <row r="883" spans="1:2" ht="15.75" customHeight="1" x14ac:dyDescent="0.45">
      <c r="A883" s="33"/>
      <c r="B883" s="67"/>
    </row>
    <row r="884" spans="1:2" ht="15.75" customHeight="1" x14ac:dyDescent="0.45">
      <c r="A884" s="33"/>
      <c r="B884" s="67"/>
    </row>
    <row r="885" spans="1:2" ht="15.75" customHeight="1" x14ac:dyDescent="0.45">
      <c r="A885" s="33"/>
      <c r="B885" s="67"/>
    </row>
    <row r="886" spans="1:2" ht="15.75" customHeight="1" x14ac:dyDescent="0.45">
      <c r="A886" s="33"/>
      <c r="B886" s="67"/>
    </row>
    <row r="887" spans="1:2" ht="15.75" customHeight="1" x14ac:dyDescent="0.45">
      <c r="A887" s="33"/>
      <c r="B887" s="67"/>
    </row>
    <row r="888" spans="1:2" ht="15.75" customHeight="1" x14ac:dyDescent="0.45">
      <c r="A888" s="33"/>
      <c r="B888" s="67"/>
    </row>
    <row r="889" spans="1:2" ht="15.75" customHeight="1" x14ac:dyDescent="0.45">
      <c r="A889" s="33"/>
      <c r="B889" s="67"/>
    </row>
    <row r="890" spans="1:2" ht="15.75" customHeight="1" x14ac:dyDescent="0.45">
      <c r="A890" s="33"/>
      <c r="B890" s="67"/>
    </row>
    <row r="891" spans="1:2" ht="15.75" customHeight="1" x14ac:dyDescent="0.45">
      <c r="A891" s="33"/>
      <c r="B891" s="67"/>
    </row>
    <row r="892" spans="1:2" ht="15.75" customHeight="1" x14ac:dyDescent="0.45">
      <c r="A892" s="33"/>
      <c r="B892" s="67"/>
    </row>
    <row r="893" spans="1:2" ht="15.75" customHeight="1" x14ac:dyDescent="0.45">
      <c r="A893" s="33"/>
      <c r="B893" s="67"/>
    </row>
    <row r="894" spans="1:2" ht="15.75" customHeight="1" x14ac:dyDescent="0.45">
      <c r="A894" s="33"/>
      <c r="B894" s="67"/>
    </row>
    <row r="895" spans="1:2" ht="15.75" customHeight="1" x14ac:dyDescent="0.45">
      <c r="A895" s="33"/>
      <c r="B895" s="67"/>
    </row>
    <row r="896" spans="1:2" ht="15.75" customHeight="1" x14ac:dyDescent="0.45">
      <c r="A896" s="33"/>
      <c r="B896" s="67"/>
    </row>
    <row r="897" spans="1:2" ht="15.75" customHeight="1" x14ac:dyDescent="0.45">
      <c r="A897" s="33"/>
      <c r="B897" s="67"/>
    </row>
    <row r="898" spans="1:2" ht="15.75" customHeight="1" x14ac:dyDescent="0.45">
      <c r="A898" s="33"/>
      <c r="B898" s="67"/>
    </row>
    <row r="899" spans="1:2" ht="15.75" customHeight="1" x14ac:dyDescent="0.45">
      <c r="A899" s="33"/>
      <c r="B899" s="67"/>
    </row>
    <row r="900" spans="1:2" ht="15.75" customHeight="1" x14ac:dyDescent="0.45">
      <c r="A900" s="33"/>
      <c r="B900" s="67"/>
    </row>
    <row r="901" spans="1:2" ht="15.75" customHeight="1" x14ac:dyDescent="0.45">
      <c r="A901" s="33"/>
      <c r="B901" s="67"/>
    </row>
    <row r="902" spans="1:2" ht="15.75" customHeight="1" x14ac:dyDescent="0.45">
      <c r="A902" s="33"/>
      <c r="B902" s="67"/>
    </row>
    <row r="903" spans="1:2" ht="15.75" customHeight="1" x14ac:dyDescent="0.45">
      <c r="A903" s="33"/>
      <c r="B903" s="67"/>
    </row>
    <row r="904" spans="1:2" ht="15.75" customHeight="1" x14ac:dyDescent="0.45">
      <c r="A904" s="33"/>
      <c r="B904" s="67"/>
    </row>
    <row r="905" spans="1:2" ht="15.75" customHeight="1" x14ac:dyDescent="0.45">
      <c r="A905" s="33"/>
      <c r="B905" s="67"/>
    </row>
    <row r="906" spans="1:2" ht="15.75" customHeight="1" x14ac:dyDescent="0.45">
      <c r="A906" s="33"/>
      <c r="B906" s="67"/>
    </row>
    <row r="907" spans="1:2" ht="15.75" customHeight="1" x14ac:dyDescent="0.45">
      <c r="A907" s="33"/>
      <c r="B907" s="67"/>
    </row>
    <row r="908" spans="1:2" ht="15.75" customHeight="1" x14ac:dyDescent="0.45">
      <c r="A908" s="33"/>
      <c r="B908" s="67"/>
    </row>
    <row r="909" spans="1:2" ht="15.75" customHeight="1" x14ac:dyDescent="0.45">
      <c r="A909" s="33"/>
      <c r="B909" s="67"/>
    </row>
    <row r="910" spans="1:2" ht="15.75" customHeight="1" x14ac:dyDescent="0.45">
      <c r="A910" s="33"/>
      <c r="B910" s="67"/>
    </row>
    <row r="911" spans="1:2" ht="15.75" customHeight="1" x14ac:dyDescent="0.45">
      <c r="A911" s="33"/>
      <c r="B911" s="67"/>
    </row>
    <row r="912" spans="1:2" ht="15.75" customHeight="1" x14ac:dyDescent="0.45">
      <c r="A912" s="33"/>
      <c r="B912" s="67"/>
    </row>
    <row r="913" spans="1:2" ht="15.75" customHeight="1" x14ac:dyDescent="0.45">
      <c r="A913" s="33"/>
      <c r="B913" s="67"/>
    </row>
    <row r="914" spans="1:2" ht="15.75" customHeight="1" x14ac:dyDescent="0.45">
      <c r="A914" s="33"/>
      <c r="B914" s="67"/>
    </row>
    <row r="915" spans="1:2" ht="15.75" customHeight="1" x14ac:dyDescent="0.45">
      <c r="A915" s="33"/>
      <c r="B915" s="67"/>
    </row>
    <row r="916" spans="1:2" ht="15.75" customHeight="1" x14ac:dyDescent="0.45">
      <c r="A916" s="33"/>
      <c r="B916" s="67"/>
    </row>
    <row r="917" spans="1:2" ht="15.75" customHeight="1" x14ac:dyDescent="0.45">
      <c r="A917" s="33"/>
      <c r="B917" s="67"/>
    </row>
    <row r="918" spans="1:2" ht="15.75" customHeight="1" x14ac:dyDescent="0.45">
      <c r="A918" s="33"/>
      <c r="B918" s="67"/>
    </row>
    <row r="919" spans="1:2" ht="15.75" customHeight="1" x14ac:dyDescent="0.45">
      <c r="A919" s="33"/>
      <c r="B919" s="67"/>
    </row>
    <row r="920" spans="1:2" ht="15.75" customHeight="1" x14ac:dyDescent="0.45">
      <c r="A920" s="33"/>
      <c r="B920" s="67"/>
    </row>
    <row r="921" spans="1:2" ht="15.75" customHeight="1" x14ac:dyDescent="0.45">
      <c r="A921" s="33"/>
      <c r="B921" s="67"/>
    </row>
    <row r="922" spans="1:2" ht="15.75" customHeight="1" x14ac:dyDescent="0.45">
      <c r="A922" s="33"/>
      <c r="B922" s="67"/>
    </row>
    <row r="923" spans="1:2" ht="15.75" customHeight="1" x14ac:dyDescent="0.45">
      <c r="A923" s="33"/>
      <c r="B923" s="67"/>
    </row>
    <row r="924" spans="1:2" ht="15.75" customHeight="1" x14ac:dyDescent="0.45">
      <c r="A924" s="33"/>
      <c r="B924" s="67"/>
    </row>
    <row r="925" spans="1:2" ht="15.75" customHeight="1" x14ac:dyDescent="0.45">
      <c r="A925" s="33"/>
      <c r="B925" s="67"/>
    </row>
    <row r="926" spans="1:2" ht="15.75" customHeight="1" x14ac:dyDescent="0.45">
      <c r="A926" s="33"/>
      <c r="B926" s="67"/>
    </row>
    <row r="927" spans="1:2" ht="15.75" customHeight="1" x14ac:dyDescent="0.45">
      <c r="A927" s="33"/>
      <c r="B927" s="67"/>
    </row>
    <row r="928" spans="1:2" ht="15.75" customHeight="1" x14ac:dyDescent="0.45">
      <c r="A928" s="33"/>
      <c r="B928" s="67"/>
    </row>
    <row r="929" spans="1:2" ht="15.75" customHeight="1" x14ac:dyDescent="0.45">
      <c r="A929" s="33"/>
      <c r="B929" s="67"/>
    </row>
    <row r="930" spans="1:2" ht="15.75" customHeight="1" x14ac:dyDescent="0.45">
      <c r="A930" s="33"/>
      <c r="B930" s="67"/>
    </row>
    <row r="931" spans="1:2" ht="15.75" customHeight="1" x14ac:dyDescent="0.45">
      <c r="A931" s="33"/>
      <c r="B931" s="67"/>
    </row>
    <row r="932" spans="1:2" ht="15.75" customHeight="1" x14ac:dyDescent="0.45">
      <c r="A932" s="33"/>
      <c r="B932" s="67"/>
    </row>
    <row r="933" spans="1:2" ht="15.75" customHeight="1" x14ac:dyDescent="0.45">
      <c r="A933" s="33"/>
      <c r="B933" s="67"/>
    </row>
    <row r="934" spans="1:2" ht="15.75" customHeight="1" x14ac:dyDescent="0.45">
      <c r="A934" s="33"/>
      <c r="B934" s="67"/>
    </row>
    <row r="935" spans="1:2" ht="15.75" customHeight="1" x14ac:dyDescent="0.45">
      <c r="A935" s="33"/>
      <c r="B935" s="67"/>
    </row>
    <row r="936" spans="1:2" ht="15.75" customHeight="1" x14ac:dyDescent="0.45">
      <c r="A936" s="33"/>
      <c r="B936" s="67"/>
    </row>
    <row r="937" spans="1:2" ht="15.75" customHeight="1" x14ac:dyDescent="0.45">
      <c r="A937" s="33"/>
      <c r="B937" s="67"/>
    </row>
    <row r="938" spans="1:2" ht="15.75" customHeight="1" x14ac:dyDescent="0.45">
      <c r="A938" s="33"/>
      <c r="B938" s="67"/>
    </row>
    <row r="939" spans="1:2" ht="15.75" customHeight="1" x14ac:dyDescent="0.45">
      <c r="A939" s="33"/>
      <c r="B939" s="67"/>
    </row>
    <row r="940" spans="1:2" ht="15.75" customHeight="1" x14ac:dyDescent="0.45">
      <c r="A940" s="33"/>
      <c r="B940" s="67"/>
    </row>
    <row r="941" spans="1:2" ht="15.75" customHeight="1" x14ac:dyDescent="0.45">
      <c r="A941" s="33"/>
      <c r="B941" s="67"/>
    </row>
    <row r="942" spans="1:2" ht="15.75" customHeight="1" x14ac:dyDescent="0.45">
      <c r="A942" s="33"/>
      <c r="B942" s="67"/>
    </row>
    <row r="943" spans="1:2" ht="15.75" customHeight="1" x14ac:dyDescent="0.45">
      <c r="A943" s="33"/>
      <c r="B943" s="67"/>
    </row>
    <row r="944" spans="1:2" ht="15.75" customHeight="1" x14ac:dyDescent="0.45">
      <c r="A944" s="33"/>
      <c r="B944" s="67"/>
    </row>
    <row r="945" spans="1:2" ht="15.75" customHeight="1" x14ac:dyDescent="0.45">
      <c r="A945" s="33"/>
      <c r="B945" s="67"/>
    </row>
    <row r="946" spans="1:2" ht="15.75" customHeight="1" x14ac:dyDescent="0.45">
      <c r="A946" s="33"/>
      <c r="B946" s="67"/>
    </row>
    <row r="947" spans="1:2" ht="15.75" customHeight="1" x14ac:dyDescent="0.45">
      <c r="A947" s="33"/>
      <c r="B947" s="67"/>
    </row>
    <row r="948" spans="1:2" ht="15.75" customHeight="1" x14ac:dyDescent="0.45">
      <c r="A948" s="33"/>
      <c r="B948" s="67"/>
    </row>
    <row r="949" spans="1:2" ht="15.75" customHeight="1" x14ac:dyDescent="0.45">
      <c r="A949" s="33"/>
      <c r="B949" s="67"/>
    </row>
    <row r="950" spans="1:2" ht="15.75" customHeight="1" x14ac:dyDescent="0.45">
      <c r="A950" s="33"/>
      <c r="B950" s="67"/>
    </row>
    <row r="951" spans="1:2" ht="15.75" customHeight="1" x14ac:dyDescent="0.45">
      <c r="A951" s="33"/>
      <c r="B951" s="67"/>
    </row>
    <row r="952" spans="1:2" ht="15.75" customHeight="1" x14ac:dyDescent="0.45">
      <c r="A952" s="33"/>
      <c r="B952" s="67"/>
    </row>
    <row r="953" spans="1:2" ht="15.75" customHeight="1" x14ac:dyDescent="0.45">
      <c r="A953" s="33"/>
      <c r="B953" s="67"/>
    </row>
    <row r="954" spans="1:2" ht="15.75" customHeight="1" x14ac:dyDescent="0.45">
      <c r="A954" s="33"/>
      <c r="B954" s="67"/>
    </row>
    <row r="955" spans="1:2" ht="15.75" customHeight="1" x14ac:dyDescent="0.45">
      <c r="A955" s="33"/>
      <c r="B955" s="67"/>
    </row>
    <row r="956" spans="1:2" ht="15.75" customHeight="1" x14ac:dyDescent="0.45">
      <c r="A956" s="33"/>
      <c r="B956" s="67"/>
    </row>
    <row r="957" spans="1:2" ht="15.75" customHeight="1" x14ac:dyDescent="0.45">
      <c r="A957" s="33"/>
      <c r="B957" s="67"/>
    </row>
    <row r="958" spans="1:2" ht="15.75" customHeight="1" x14ac:dyDescent="0.45">
      <c r="A958" s="33"/>
      <c r="B958" s="67"/>
    </row>
    <row r="959" spans="1:2" ht="15.75" customHeight="1" x14ac:dyDescent="0.45">
      <c r="A959" s="33"/>
      <c r="B959" s="67"/>
    </row>
    <row r="960" spans="1:2" ht="15.75" customHeight="1" x14ac:dyDescent="0.45">
      <c r="A960" s="33"/>
      <c r="B960" s="67"/>
    </row>
    <row r="961" spans="1:2" ht="15.75" customHeight="1" x14ac:dyDescent="0.45">
      <c r="A961" s="33"/>
      <c r="B961" s="67"/>
    </row>
    <row r="962" spans="1:2" ht="15.75" customHeight="1" x14ac:dyDescent="0.45">
      <c r="A962" s="33"/>
      <c r="B962" s="67"/>
    </row>
    <row r="963" spans="1:2" ht="15.75" customHeight="1" x14ac:dyDescent="0.45">
      <c r="A963" s="33"/>
      <c r="B963" s="67"/>
    </row>
    <row r="964" spans="1:2" ht="15.75" customHeight="1" x14ac:dyDescent="0.45">
      <c r="A964" s="33"/>
      <c r="B964" s="67"/>
    </row>
    <row r="965" spans="1:2" ht="15.75" customHeight="1" x14ac:dyDescent="0.45">
      <c r="A965" s="33"/>
      <c r="B965" s="67"/>
    </row>
    <row r="966" spans="1:2" ht="15.75" customHeight="1" x14ac:dyDescent="0.45">
      <c r="A966" s="33"/>
      <c r="B966" s="67"/>
    </row>
    <row r="967" spans="1:2" ht="15.75" customHeight="1" x14ac:dyDescent="0.45">
      <c r="A967" s="33"/>
      <c r="B967" s="67"/>
    </row>
    <row r="968" spans="1:2" ht="15.75" customHeight="1" x14ac:dyDescent="0.45">
      <c r="A968" s="33"/>
      <c r="B968" s="67"/>
    </row>
    <row r="969" spans="1:2" ht="15.75" customHeight="1" x14ac:dyDescent="0.45">
      <c r="A969" s="33"/>
      <c r="B969" s="67"/>
    </row>
    <row r="970" spans="1:2" ht="15.75" customHeight="1" x14ac:dyDescent="0.45">
      <c r="A970" s="33"/>
      <c r="B970" s="67"/>
    </row>
    <row r="971" spans="1:2" ht="15.75" customHeight="1" x14ac:dyDescent="0.45">
      <c r="A971" s="33"/>
      <c r="B971" s="67"/>
    </row>
    <row r="972" spans="1:2" ht="15.75" customHeight="1" x14ac:dyDescent="0.45">
      <c r="A972" s="33"/>
      <c r="B972" s="67"/>
    </row>
    <row r="973" spans="1:2" ht="15.75" customHeight="1" x14ac:dyDescent="0.45">
      <c r="A973" s="33"/>
      <c r="B973" s="67"/>
    </row>
    <row r="974" spans="1:2" ht="15.75" customHeight="1" x14ac:dyDescent="0.45">
      <c r="A974" s="33"/>
      <c r="B974" s="67"/>
    </row>
    <row r="975" spans="1:2" ht="15.75" customHeight="1" x14ac:dyDescent="0.45">
      <c r="A975" s="33"/>
      <c r="B975" s="67"/>
    </row>
    <row r="976" spans="1:2" ht="15.75" customHeight="1" x14ac:dyDescent="0.45">
      <c r="A976" s="33"/>
      <c r="B976" s="67"/>
    </row>
    <row r="977" spans="1:2" ht="15.75" customHeight="1" x14ac:dyDescent="0.45">
      <c r="A977" s="33"/>
      <c r="B977" s="67"/>
    </row>
    <row r="978" spans="1:2" ht="15.75" customHeight="1" x14ac:dyDescent="0.45">
      <c r="A978" s="33"/>
      <c r="B978" s="67"/>
    </row>
    <row r="979" spans="1:2" ht="15.75" customHeight="1" x14ac:dyDescent="0.45">
      <c r="A979" s="33"/>
      <c r="B979" s="67"/>
    </row>
    <row r="980" spans="1:2" ht="15.75" customHeight="1" x14ac:dyDescent="0.45">
      <c r="A980" s="33"/>
      <c r="B980" s="67"/>
    </row>
    <row r="981" spans="1:2" ht="15.75" customHeight="1" x14ac:dyDescent="0.45">
      <c r="A981" s="33"/>
      <c r="B981" s="67"/>
    </row>
    <row r="982" spans="1:2" ht="15.75" customHeight="1" x14ac:dyDescent="0.45">
      <c r="A982" s="33"/>
      <c r="B982" s="67"/>
    </row>
    <row r="983" spans="1:2" ht="15.75" customHeight="1" x14ac:dyDescent="0.45">
      <c r="A983" s="33"/>
      <c r="B983" s="67"/>
    </row>
    <row r="984" spans="1:2" ht="15.75" customHeight="1" x14ac:dyDescent="0.45">
      <c r="A984" s="33"/>
      <c r="B984" s="67"/>
    </row>
    <row r="985" spans="1:2" ht="15.75" customHeight="1" x14ac:dyDescent="0.45">
      <c r="A985" s="33"/>
      <c r="B985" s="67"/>
    </row>
    <row r="986" spans="1:2" ht="15.75" customHeight="1" x14ac:dyDescent="0.45">
      <c r="A986" s="33"/>
      <c r="B986" s="67"/>
    </row>
    <row r="987" spans="1:2" ht="15.75" customHeight="1" x14ac:dyDescent="0.45">
      <c r="A987" s="33"/>
      <c r="B987" s="67"/>
    </row>
    <row r="988" spans="1:2" ht="15.75" customHeight="1" x14ac:dyDescent="0.45">
      <c r="A988" s="33"/>
      <c r="B988" s="67"/>
    </row>
    <row r="989" spans="1:2" ht="15.75" customHeight="1" x14ac:dyDescent="0.45">
      <c r="A989" s="33"/>
      <c r="B989" s="67"/>
    </row>
    <row r="990" spans="1:2" ht="15.75" customHeight="1" x14ac:dyDescent="0.45">
      <c r="A990" s="33"/>
      <c r="B990" s="67"/>
    </row>
    <row r="991" spans="1:2" ht="15.75" customHeight="1" x14ac:dyDescent="0.45">
      <c r="A991" s="33"/>
      <c r="B991" s="67"/>
    </row>
    <row r="992" spans="1:2" ht="15.75" customHeight="1" x14ac:dyDescent="0.45">
      <c r="A992" s="33"/>
      <c r="B992" s="67"/>
    </row>
    <row r="993" spans="1:2" ht="15.75" customHeight="1" x14ac:dyDescent="0.45">
      <c r="A993" s="33"/>
      <c r="B993" s="67"/>
    </row>
    <row r="994" spans="1:2" ht="15.75" customHeight="1" x14ac:dyDescent="0.45">
      <c r="A994" s="33"/>
      <c r="B994" s="67"/>
    </row>
    <row r="995" spans="1:2" ht="15.75" customHeight="1" x14ac:dyDescent="0.45">
      <c r="A995" s="33"/>
      <c r="B995" s="67"/>
    </row>
    <row r="996" spans="1:2" ht="15.75" customHeight="1" x14ac:dyDescent="0.45">
      <c r="A996" s="33"/>
      <c r="B996" s="67"/>
    </row>
    <row r="997" spans="1:2" ht="15.75" customHeight="1" x14ac:dyDescent="0.45">
      <c r="A997" s="33"/>
      <c r="B997" s="67"/>
    </row>
    <row r="998" spans="1:2" ht="15.75" customHeight="1" x14ac:dyDescent="0.45">
      <c r="A998" s="33"/>
      <c r="B998" s="67"/>
    </row>
    <row r="999" spans="1:2" ht="15.75" customHeight="1" x14ac:dyDescent="0.45">
      <c r="A999" s="33"/>
      <c r="B999" s="67"/>
    </row>
    <row r="1000" spans="1:2" ht="15.75" customHeight="1" x14ac:dyDescent="0.45">
      <c r="A1000" s="33"/>
      <c r="B1000" s="67"/>
    </row>
    <row r="1001" spans="1:2" ht="15.75" customHeight="1" x14ac:dyDescent="0.45">
      <c r="A1001" s="33"/>
      <c r="B1001" s="67"/>
    </row>
    <row r="1002" spans="1:2" ht="15.75" customHeight="1" x14ac:dyDescent="0.45">
      <c r="A1002" s="33"/>
      <c r="B1002" s="67"/>
    </row>
  </sheetData>
  <mergeCells count="4">
    <mergeCell ref="B18:K18"/>
    <mergeCell ref="A22:Q22"/>
    <mergeCell ref="A24:I24"/>
    <mergeCell ref="A20:F20"/>
  </mergeCells>
  <hyperlinks>
    <hyperlink ref="B18" r:id="rId1" xr:uid="{00000000-0004-0000-0700-000000000000}"/>
    <hyperlink ref="A22" r:id="rId2" xr:uid="{00000000-0004-0000-0700-000001000000}"/>
    <hyperlink ref="A24" r:id="rId3" xr:uid="{00000000-0004-0000-0700-000002000000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002"/>
  <sheetViews>
    <sheetView topLeftCell="L1" workbookViewId="0"/>
  </sheetViews>
  <sheetFormatPr defaultColWidth="14.3984375" defaultRowHeight="15" customHeight="1" x14ac:dyDescent="0.45"/>
  <cols>
    <col min="1" max="1" width="22.86328125" customWidth="1"/>
    <col min="2" max="28" width="8.73046875" customWidth="1"/>
  </cols>
  <sheetData>
    <row r="1" spans="1:28" ht="28.5" x14ac:dyDescent="0.45">
      <c r="A1" s="1" t="s">
        <v>154</v>
      </c>
      <c r="B1" s="2">
        <v>44879</v>
      </c>
      <c r="C1" s="3">
        <v>44880</v>
      </c>
      <c r="D1" s="3">
        <v>44881</v>
      </c>
      <c r="E1" s="3">
        <v>44882</v>
      </c>
      <c r="F1" s="3">
        <v>44883</v>
      </c>
      <c r="G1" s="6" t="s">
        <v>155</v>
      </c>
      <c r="H1" s="5">
        <v>44886</v>
      </c>
      <c r="I1" s="38" t="s">
        <v>156</v>
      </c>
      <c r="J1" s="5">
        <v>44887</v>
      </c>
      <c r="K1" s="6" t="s">
        <v>157</v>
      </c>
      <c r="L1" s="5">
        <v>44888</v>
      </c>
      <c r="M1" s="5">
        <v>44889</v>
      </c>
      <c r="N1" s="5">
        <v>44893</v>
      </c>
      <c r="O1" s="6" t="s">
        <v>158</v>
      </c>
      <c r="P1" s="5">
        <v>44894</v>
      </c>
      <c r="Q1" s="6" t="s">
        <v>159</v>
      </c>
      <c r="R1" s="38" t="s">
        <v>160</v>
      </c>
      <c r="S1" s="7">
        <v>44896</v>
      </c>
      <c r="T1" s="7">
        <v>44897</v>
      </c>
      <c r="U1" s="6" t="s">
        <v>161</v>
      </c>
      <c r="V1" s="7">
        <v>44900</v>
      </c>
      <c r="W1" s="7">
        <v>44901</v>
      </c>
      <c r="X1" s="6" t="s">
        <v>162</v>
      </c>
      <c r="Y1" s="7">
        <v>44902</v>
      </c>
      <c r="Z1" s="7">
        <v>44903</v>
      </c>
      <c r="AA1" s="7">
        <v>44904</v>
      </c>
      <c r="AB1" s="8"/>
    </row>
    <row r="2" spans="1:28" ht="14.25" x14ac:dyDescent="0.45">
      <c r="A2" s="14" t="s">
        <v>163</v>
      </c>
      <c r="B2" s="15">
        <v>127206</v>
      </c>
      <c r="C2" s="16">
        <v>135046</v>
      </c>
      <c r="D2" s="16">
        <v>137969</v>
      </c>
      <c r="E2" s="17">
        <v>149860</v>
      </c>
      <c r="F2" s="17">
        <v>151276</v>
      </c>
      <c r="G2" s="17">
        <v>151950</v>
      </c>
      <c r="H2" s="17">
        <v>151950</v>
      </c>
      <c r="I2" s="17">
        <v>151950</v>
      </c>
      <c r="J2" s="17">
        <v>152292</v>
      </c>
      <c r="K2" s="17">
        <v>152292</v>
      </c>
      <c r="L2" s="17">
        <v>152336</v>
      </c>
      <c r="M2" s="17">
        <v>152807</v>
      </c>
      <c r="N2" s="17">
        <v>152829</v>
      </c>
      <c r="O2" s="17">
        <v>152829</v>
      </c>
      <c r="P2" s="17">
        <v>152983</v>
      </c>
      <c r="Q2" s="17">
        <v>153160</v>
      </c>
      <c r="R2" s="17">
        <v>153160</v>
      </c>
      <c r="S2" s="17">
        <v>153179</v>
      </c>
      <c r="T2" s="17">
        <v>153370</v>
      </c>
      <c r="U2" s="17">
        <v>153370</v>
      </c>
      <c r="V2" s="17">
        <v>153370</v>
      </c>
      <c r="W2" s="17">
        <v>153370</v>
      </c>
      <c r="X2" s="17">
        <v>153370</v>
      </c>
      <c r="Y2" s="17">
        <v>153521</v>
      </c>
      <c r="Z2" s="17">
        <v>153521</v>
      </c>
      <c r="AA2" s="17">
        <v>153541</v>
      </c>
      <c r="AB2" s="41"/>
    </row>
    <row r="3" spans="1:28" ht="14.25" x14ac:dyDescent="0.45">
      <c r="A3" s="9" t="s">
        <v>164</v>
      </c>
      <c r="B3" s="10">
        <v>114698</v>
      </c>
      <c r="C3" s="11">
        <v>122250</v>
      </c>
      <c r="D3" s="11">
        <v>125950</v>
      </c>
      <c r="E3" s="12">
        <v>135229</v>
      </c>
      <c r="F3" s="12">
        <v>136493</v>
      </c>
      <c r="G3" s="12">
        <v>136882</v>
      </c>
      <c r="H3" s="12">
        <v>136882</v>
      </c>
      <c r="I3" s="12">
        <v>136882</v>
      </c>
      <c r="J3" s="12">
        <v>137259</v>
      </c>
      <c r="K3" s="12">
        <v>137259</v>
      </c>
      <c r="L3" s="12">
        <v>137318</v>
      </c>
      <c r="M3" s="12">
        <v>137631</v>
      </c>
      <c r="N3" s="12">
        <v>137645</v>
      </c>
      <c r="O3" s="12">
        <v>137645</v>
      </c>
      <c r="P3" s="12">
        <v>137804</v>
      </c>
      <c r="Q3" s="12">
        <v>137954</v>
      </c>
      <c r="R3" s="12">
        <v>137954</v>
      </c>
      <c r="S3" s="12">
        <v>137966</v>
      </c>
      <c r="T3" s="12">
        <v>138089</v>
      </c>
      <c r="U3" s="12">
        <v>138089</v>
      </c>
      <c r="V3" s="12">
        <v>138089</v>
      </c>
      <c r="W3" s="12">
        <v>138089</v>
      </c>
      <c r="X3" s="12">
        <v>138089</v>
      </c>
      <c r="Y3" s="12">
        <v>138189</v>
      </c>
      <c r="Z3" s="12">
        <v>138189</v>
      </c>
      <c r="AA3" s="12">
        <v>138194</v>
      </c>
      <c r="AB3" s="40"/>
    </row>
    <row r="4" spans="1:28" ht="14.25" x14ac:dyDescent="0.45">
      <c r="A4" s="20" t="s">
        <v>11</v>
      </c>
      <c r="B4" s="21">
        <f t="shared" ref="B4:AA4" si="0">B2-B3</f>
        <v>12508</v>
      </c>
      <c r="C4" s="21">
        <f t="shared" si="0"/>
        <v>12796</v>
      </c>
      <c r="D4" s="21">
        <f t="shared" si="0"/>
        <v>12019</v>
      </c>
      <c r="E4" s="21">
        <f t="shared" si="0"/>
        <v>14631</v>
      </c>
      <c r="F4" s="21">
        <f t="shared" si="0"/>
        <v>14783</v>
      </c>
      <c r="G4" s="21">
        <f t="shared" si="0"/>
        <v>15068</v>
      </c>
      <c r="H4" s="21">
        <f t="shared" si="0"/>
        <v>15068</v>
      </c>
      <c r="I4" s="21">
        <f t="shared" si="0"/>
        <v>15068</v>
      </c>
      <c r="J4" s="21">
        <f t="shared" si="0"/>
        <v>15033</v>
      </c>
      <c r="K4" s="21">
        <f t="shared" si="0"/>
        <v>15033</v>
      </c>
      <c r="L4" s="21">
        <f t="shared" si="0"/>
        <v>15018</v>
      </c>
      <c r="M4" s="21">
        <f t="shared" si="0"/>
        <v>15176</v>
      </c>
      <c r="N4" s="21">
        <f t="shared" si="0"/>
        <v>15184</v>
      </c>
      <c r="O4" s="21">
        <f t="shared" si="0"/>
        <v>15184</v>
      </c>
      <c r="P4" s="21">
        <f t="shared" si="0"/>
        <v>15179</v>
      </c>
      <c r="Q4" s="21">
        <f t="shared" si="0"/>
        <v>15206</v>
      </c>
      <c r="R4" s="21">
        <f t="shared" si="0"/>
        <v>15206</v>
      </c>
      <c r="S4" s="21">
        <f t="shared" si="0"/>
        <v>15213</v>
      </c>
      <c r="T4" s="21">
        <f t="shared" si="0"/>
        <v>15281</v>
      </c>
      <c r="U4" s="21">
        <f t="shared" si="0"/>
        <v>15281</v>
      </c>
      <c r="V4" s="21">
        <f t="shared" si="0"/>
        <v>15281</v>
      </c>
      <c r="W4" s="21">
        <f t="shared" si="0"/>
        <v>15281</v>
      </c>
      <c r="X4" s="21">
        <f t="shared" si="0"/>
        <v>15281</v>
      </c>
      <c r="Y4" s="21">
        <f t="shared" si="0"/>
        <v>15332</v>
      </c>
      <c r="Z4" s="21">
        <f t="shared" si="0"/>
        <v>15332</v>
      </c>
      <c r="AA4" s="21">
        <f t="shared" si="0"/>
        <v>15347</v>
      </c>
    </row>
    <row r="5" spans="1:28" ht="14.25" x14ac:dyDescent="0.45">
      <c r="A5" s="20" t="s">
        <v>12</v>
      </c>
      <c r="B5" s="23">
        <f t="shared" ref="B5:AA5" si="1">B4/SUM(B2:B3)</f>
        <v>5.1706462067597062E-2</v>
      </c>
      <c r="C5" s="23">
        <f t="shared" si="1"/>
        <v>4.9732603693800136E-2</v>
      </c>
      <c r="D5" s="23">
        <f t="shared" si="1"/>
        <v>4.5540487801181424E-2</v>
      </c>
      <c r="E5" s="23">
        <f t="shared" si="1"/>
        <v>5.1320815604951435E-2</v>
      </c>
      <c r="F5" s="23">
        <f t="shared" si="1"/>
        <v>5.1371064986152085E-2</v>
      </c>
      <c r="G5" s="23">
        <f t="shared" si="1"/>
        <v>5.2168734766230886E-2</v>
      </c>
      <c r="H5" s="23">
        <f t="shared" si="1"/>
        <v>5.2168734766230886E-2</v>
      </c>
      <c r="I5" s="23">
        <f t="shared" si="1"/>
        <v>5.2168734766230886E-2</v>
      </c>
      <c r="J5" s="23">
        <f t="shared" si="1"/>
        <v>5.1918314908254506E-2</v>
      </c>
      <c r="K5" s="23">
        <f t="shared" si="1"/>
        <v>5.1918314908254506E-2</v>
      </c>
      <c r="L5" s="23">
        <f t="shared" si="1"/>
        <v>5.1848067004080733E-2</v>
      </c>
      <c r="M5" s="23">
        <f t="shared" si="1"/>
        <v>5.2252115769975002E-2</v>
      </c>
      <c r="N5" s="23">
        <f t="shared" si="1"/>
        <v>5.2273181076447461E-2</v>
      </c>
      <c r="O5" s="23">
        <f t="shared" si="1"/>
        <v>5.2273181076447461E-2</v>
      </c>
      <c r="P5" s="23">
        <f t="shared" si="1"/>
        <v>5.2199720070016886E-2</v>
      </c>
      <c r="Q5" s="23">
        <f t="shared" si="1"/>
        <v>5.2233832794025707E-2</v>
      </c>
      <c r="R5" s="23">
        <f t="shared" si="1"/>
        <v>5.2233832794025707E-2</v>
      </c>
      <c r="S5" s="23">
        <f t="shared" si="1"/>
        <v>5.2252314139002901E-2</v>
      </c>
      <c r="T5" s="23">
        <f t="shared" si="1"/>
        <v>5.2429329682734109E-2</v>
      </c>
      <c r="U5" s="23">
        <f t="shared" si="1"/>
        <v>5.2429329682734109E-2</v>
      </c>
      <c r="V5" s="23">
        <f t="shared" si="1"/>
        <v>5.2429329682734109E-2</v>
      </c>
      <c r="W5" s="23">
        <f t="shared" si="1"/>
        <v>5.2429329682734109E-2</v>
      </c>
      <c r="X5" s="23">
        <f t="shared" si="1"/>
        <v>5.2429329682734109E-2</v>
      </c>
      <c r="Y5" s="23">
        <f t="shared" si="1"/>
        <v>5.2559048369956465E-2</v>
      </c>
      <c r="Z5" s="23">
        <f t="shared" si="1"/>
        <v>5.2559048369956465E-2</v>
      </c>
      <c r="AA5" s="23">
        <f t="shared" si="1"/>
        <v>5.2605960889163111E-2</v>
      </c>
    </row>
    <row r="6" spans="1:28" ht="28.5" x14ac:dyDescent="0.45">
      <c r="A6" s="20" t="s">
        <v>13</v>
      </c>
      <c r="B6" s="24">
        <f t="shared" ref="B6:P6" si="2">SUM(B7:B8)</f>
        <v>404181</v>
      </c>
      <c r="C6" s="24">
        <f t="shared" si="2"/>
        <v>256541</v>
      </c>
      <c r="D6" s="24">
        <f t="shared" si="2"/>
        <v>196760</v>
      </c>
      <c r="E6" s="24">
        <f t="shared" si="2"/>
        <v>74759</v>
      </c>
      <c r="F6" s="24">
        <f t="shared" si="2"/>
        <v>41204</v>
      </c>
      <c r="G6" s="21">
        <f t="shared" si="2"/>
        <v>34197</v>
      </c>
      <c r="H6" s="21">
        <f t="shared" si="2"/>
        <v>34197</v>
      </c>
      <c r="I6" s="21">
        <f t="shared" si="2"/>
        <v>34197</v>
      </c>
      <c r="J6" s="21">
        <f t="shared" si="2"/>
        <v>25491</v>
      </c>
      <c r="K6" s="21">
        <f t="shared" si="2"/>
        <v>25491</v>
      </c>
      <c r="L6" s="21">
        <f t="shared" si="2"/>
        <v>24485</v>
      </c>
      <c r="M6" s="21">
        <f t="shared" si="2"/>
        <v>19812</v>
      </c>
      <c r="N6" s="21">
        <f t="shared" si="2"/>
        <v>19413</v>
      </c>
      <c r="O6" s="21">
        <f t="shared" si="2"/>
        <v>19413</v>
      </c>
      <c r="P6" s="21">
        <f t="shared" si="2"/>
        <v>15388</v>
      </c>
      <c r="Q6" s="21">
        <v>11690</v>
      </c>
      <c r="R6" s="21">
        <v>11690</v>
      </c>
      <c r="S6" s="21">
        <v>11398</v>
      </c>
      <c r="T6" s="21">
        <f t="shared" ref="T6:AA6" si="3">SUM(T7:T8)</f>
        <v>5900</v>
      </c>
      <c r="U6" s="21">
        <f t="shared" si="3"/>
        <v>5800</v>
      </c>
      <c r="V6" s="21">
        <f t="shared" si="3"/>
        <v>5800</v>
      </c>
      <c r="W6" s="21">
        <f t="shared" si="3"/>
        <v>5800</v>
      </c>
      <c r="X6" s="21">
        <f t="shared" si="3"/>
        <v>5800</v>
      </c>
      <c r="Y6" s="21">
        <f t="shared" si="3"/>
        <v>4600</v>
      </c>
      <c r="Z6" s="21">
        <f t="shared" si="3"/>
        <v>4600</v>
      </c>
      <c r="AA6" s="21">
        <f t="shared" si="3"/>
        <v>0</v>
      </c>
    </row>
    <row r="7" spans="1:28" ht="14.25" x14ac:dyDescent="0.45">
      <c r="A7" s="25" t="s">
        <v>133</v>
      </c>
      <c r="B7" s="26">
        <v>239181</v>
      </c>
      <c r="C7" s="26">
        <v>176541</v>
      </c>
      <c r="D7" s="31">
        <v>116760</v>
      </c>
      <c r="E7" s="30">
        <v>59759</v>
      </c>
      <c r="F7" s="30">
        <v>26204</v>
      </c>
      <c r="G7" s="30">
        <v>23197</v>
      </c>
      <c r="H7" s="30">
        <v>23197</v>
      </c>
      <c r="I7" s="30">
        <v>23197</v>
      </c>
      <c r="J7" s="30">
        <v>14491</v>
      </c>
      <c r="K7" s="30">
        <v>14491</v>
      </c>
      <c r="L7" s="30">
        <v>13485</v>
      </c>
      <c r="M7" s="30">
        <v>11112</v>
      </c>
      <c r="N7" s="30">
        <v>10713</v>
      </c>
      <c r="O7" s="30">
        <v>10713</v>
      </c>
      <c r="P7" s="30">
        <v>6688</v>
      </c>
      <c r="Q7" s="30">
        <v>4690</v>
      </c>
      <c r="R7" s="30">
        <v>4690</v>
      </c>
      <c r="S7" s="30">
        <v>4398</v>
      </c>
      <c r="T7" s="29">
        <v>100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</row>
    <row r="8" spans="1:28" ht="14.25" x14ac:dyDescent="0.45">
      <c r="A8" s="25" t="s">
        <v>165</v>
      </c>
      <c r="B8" s="26">
        <v>165000</v>
      </c>
      <c r="C8" s="31">
        <v>80000</v>
      </c>
      <c r="D8" s="31">
        <v>80000</v>
      </c>
      <c r="E8" s="30">
        <v>15000</v>
      </c>
      <c r="F8" s="30">
        <v>15000</v>
      </c>
      <c r="G8" s="30">
        <v>11000</v>
      </c>
      <c r="H8" s="30">
        <v>11000</v>
      </c>
      <c r="I8" s="30">
        <v>11000</v>
      </c>
      <c r="J8" s="30">
        <v>11000</v>
      </c>
      <c r="K8" s="30">
        <v>11000</v>
      </c>
      <c r="L8" s="30">
        <v>11000</v>
      </c>
      <c r="M8" s="30">
        <v>8700</v>
      </c>
      <c r="N8" s="30">
        <v>8700</v>
      </c>
      <c r="O8" s="30">
        <v>8700</v>
      </c>
      <c r="P8" s="30">
        <v>8700</v>
      </c>
      <c r="Q8" s="65" t="s">
        <v>166</v>
      </c>
      <c r="R8" s="65" t="s">
        <v>166</v>
      </c>
      <c r="S8" s="65" t="s">
        <v>166</v>
      </c>
      <c r="T8" s="30">
        <v>5800</v>
      </c>
      <c r="U8" s="30">
        <v>5800</v>
      </c>
      <c r="V8" s="30">
        <v>5800</v>
      </c>
      <c r="W8" s="30">
        <v>5800</v>
      </c>
      <c r="X8" s="30">
        <v>5800</v>
      </c>
      <c r="Y8" s="30">
        <v>4600</v>
      </c>
      <c r="Z8" s="30">
        <v>4600</v>
      </c>
      <c r="AA8" s="29">
        <v>0</v>
      </c>
    </row>
    <row r="9" spans="1:28" ht="14.25" x14ac:dyDescent="0.45">
      <c r="A9" s="33"/>
    </row>
    <row r="10" spans="1:28" ht="14.25" x14ac:dyDescent="0.45">
      <c r="A10" s="33"/>
    </row>
    <row r="11" spans="1:28" ht="14.25" x14ac:dyDescent="0.45">
      <c r="A11" s="33"/>
      <c r="N11" s="69"/>
    </row>
    <row r="12" spans="1:28" ht="14.25" x14ac:dyDescent="0.45">
      <c r="A12" s="33"/>
    </row>
    <row r="13" spans="1:28" ht="14.25" x14ac:dyDescent="0.45">
      <c r="A13" s="33"/>
    </row>
    <row r="14" spans="1:28" ht="14.25" x14ac:dyDescent="0.45">
      <c r="A14" s="33"/>
    </row>
    <row r="15" spans="1:28" ht="14.25" x14ac:dyDescent="0.45">
      <c r="A15" s="33"/>
    </row>
    <row r="16" spans="1:28" ht="14.25" x14ac:dyDescent="0.45">
      <c r="A16" s="33"/>
    </row>
    <row r="17" spans="1:28" ht="14.25" x14ac:dyDescent="0.45">
      <c r="A17" s="33"/>
    </row>
    <row r="18" spans="1:28" ht="33.75" customHeight="1" x14ac:dyDescent="0.45">
      <c r="A18" s="34" t="s">
        <v>24</v>
      </c>
      <c r="B18" s="93" t="s">
        <v>167</v>
      </c>
      <c r="C18" s="83"/>
      <c r="D18" s="83"/>
      <c r="E18" s="83"/>
      <c r="F18" s="83"/>
      <c r="G18" s="83"/>
      <c r="H18" s="83"/>
      <c r="I18" s="83"/>
      <c r="J18" s="83"/>
      <c r="K18" s="42"/>
      <c r="L18" s="42"/>
    </row>
    <row r="20" spans="1:28" ht="14.25" x14ac:dyDescent="0.45">
      <c r="A20" s="85" t="s">
        <v>168</v>
      </c>
      <c r="B20" s="83"/>
      <c r="C20" s="83"/>
      <c r="D20" s="83"/>
      <c r="E20" s="83"/>
      <c r="F20" s="83"/>
    </row>
    <row r="22" spans="1:28" ht="14.25" x14ac:dyDescent="0.45">
      <c r="A22" s="82" t="s">
        <v>169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</row>
    <row r="23" spans="1:28" ht="15.75" customHeight="1" x14ac:dyDescent="0.45"/>
    <row r="24" spans="1:28" ht="15.75" customHeight="1" x14ac:dyDescent="0.45">
      <c r="A24" s="82" t="s">
        <v>170</v>
      </c>
      <c r="B24" s="83"/>
      <c r="C24" s="83"/>
      <c r="D24" s="83"/>
      <c r="E24" s="83"/>
      <c r="F24" s="83"/>
      <c r="G24" s="83"/>
      <c r="H24" s="83"/>
      <c r="I24" s="83"/>
    </row>
    <row r="25" spans="1:28" ht="15.75" customHeight="1" x14ac:dyDescent="0.45">
      <c r="A25" s="82" t="s">
        <v>171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</row>
    <row r="26" spans="1:28" ht="15.75" customHeight="1" x14ac:dyDescent="0.45"/>
    <row r="27" spans="1:28" ht="15.75" customHeight="1" x14ac:dyDescent="0.45"/>
    <row r="28" spans="1:28" ht="15.75" customHeight="1" x14ac:dyDescent="0.45"/>
    <row r="29" spans="1:28" ht="15.75" customHeight="1" x14ac:dyDescent="0.45"/>
    <row r="30" spans="1:28" ht="15.75" customHeight="1" x14ac:dyDescent="0.45"/>
    <row r="31" spans="1:28" ht="15.75" customHeight="1" x14ac:dyDescent="0.45"/>
    <row r="32" spans="1:28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</sheetData>
  <mergeCells count="5">
    <mergeCell ref="B18:J18"/>
    <mergeCell ref="A22:Q22"/>
    <mergeCell ref="A24:I24"/>
    <mergeCell ref="A25:M25"/>
    <mergeCell ref="A20:F20"/>
  </mergeCells>
  <hyperlinks>
    <hyperlink ref="B18" r:id="rId1" xr:uid="{00000000-0004-0000-0800-000000000000}"/>
    <hyperlink ref="A22" r:id="rId2" xr:uid="{00000000-0004-0000-0800-000001000000}"/>
    <hyperlink ref="A24" r:id="rId3" xr:uid="{00000000-0004-0000-0800-000002000000}"/>
    <hyperlink ref="A25" r:id="rId4" xr:uid="{00000000-0004-0000-0800-000003000000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24"/>
  <sheetViews>
    <sheetView topLeftCell="G1" workbookViewId="0"/>
  </sheetViews>
  <sheetFormatPr defaultColWidth="14.3984375" defaultRowHeight="15" customHeight="1" x14ac:dyDescent="0.45"/>
  <cols>
    <col min="1" max="1" width="25.53125" customWidth="1"/>
    <col min="2" max="2" width="10" customWidth="1"/>
    <col min="3" max="3" width="8.73046875" customWidth="1"/>
    <col min="4" max="4" width="9.86328125" customWidth="1"/>
    <col min="5" max="5" width="9.73046875" customWidth="1"/>
    <col min="6" max="6" width="9.1328125" customWidth="1"/>
    <col min="7" max="7" width="8" customWidth="1"/>
    <col min="8" max="8" width="7.3984375" customWidth="1"/>
    <col min="9" max="9" width="8.265625" customWidth="1"/>
    <col min="10" max="12" width="7.3984375" customWidth="1"/>
    <col min="13" max="13" width="8.265625" customWidth="1"/>
    <col min="14" max="14" width="7.265625" customWidth="1"/>
    <col min="15" max="15" width="8" customWidth="1"/>
    <col min="16" max="16" width="8.265625" customWidth="1"/>
    <col min="17" max="18" width="8" customWidth="1"/>
    <col min="19" max="19" width="8.265625" customWidth="1"/>
    <col min="20" max="21" width="8" customWidth="1"/>
    <col min="22" max="22" width="8.265625" customWidth="1"/>
    <col min="23" max="23" width="8" customWidth="1"/>
  </cols>
  <sheetData>
    <row r="1" spans="1:27" ht="28.5" x14ac:dyDescent="0.45">
      <c r="A1" s="1" t="s">
        <v>172</v>
      </c>
      <c r="B1" s="2">
        <v>44881</v>
      </c>
      <c r="C1" s="2">
        <v>44882</v>
      </c>
      <c r="D1" s="2">
        <v>44883</v>
      </c>
      <c r="E1" s="6" t="s">
        <v>173</v>
      </c>
      <c r="F1" s="5">
        <v>44886</v>
      </c>
      <c r="G1" s="38" t="s">
        <v>174</v>
      </c>
      <c r="H1" s="5">
        <v>44887</v>
      </c>
      <c r="I1" s="6" t="s">
        <v>175</v>
      </c>
      <c r="J1" s="5">
        <v>44888</v>
      </c>
      <c r="K1" s="5">
        <v>44889</v>
      </c>
      <c r="L1" s="5">
        <v>44893</v>
      </c>
      <c r="M1" s="38" t="s">
        <v>176</v>
      </c>
      <c r="N1" s="5">
        <v>44894</v>
      </c>
      <c r="O1" s="6" t="s">
        <v>177</v>
      </c>
      <c r="P1" s="6" t="s">
        <v>178</v>
      </c>
      <c r="Q1" s="7">
        <v>44896</v>
      </c>
      <c r="R1" s="7">
        <v>44897</v>
      </c>
      <c r="S1" s="6" t="s">
        <v>179</v>
      </c>
      <c r="T1" s="7">
        <v>44900</v>
      </c>
      <c r="U1" s="7">
        <v>44901</v>
      </c>
      <c r="V1" s="6" t="s">
        <v>180</v>
      </c>
      <c r="W1" s="7">
        <v>44902</v>
      </c>
      <c r="X1" s="39"/>
      <c r="Y1" s="39"/>
      <c r="Z1" s="39"/>
      <c r="AA1" s="39"/>
    </row>
    <row r="2" spans="1:27" ht="14.25" x14ac:dyDescent="0.45">
      <c r="A2" s="54" t="s">
        <v>181</v>
      </c>
      <c r="B2" s="70">
        <v>59159</v>
      </c>
      <c r="C2" s="70">
        <v>59159</v>
      </c>
      <c r="D2" s="70">
        <v>59159</v>
      </c>
      <c r="E2" s="57">
        <v>82298</v>
      </c>
      <c r="F2" s="57">
        <v>82298</v>
      </c>
      <c r="G2" s="57">
        <v>82298</v>
      </c>
      <c r="H2" s="57">
        <v>82298</v>
      </c>
      <c r="I2" s="57">
        <v>94685</v>
      </c>
      <c r="J2" s="57">
        <v>94685</v>
      </c>
      <c r="K2" s="57">
        <v>94685</v>
      </c>
      <c r="L2" s="57">
        <v>94685</v>
      </c>
      <c r="M2" s="57">
        <v>94685</v>
      </c>
      <c r="N2" s="57">
        <v>94685</v>
      </c>
      <c r="O2" s="57">
        <v>115048</v>
      </c>
      <c r="P2" s="57">
        <v>115048</v>
      </c>
      <c r="Q2" s="57">
        <v>115048</v>
      </c>
      <c r="R2" s="57">
        <v>115048</v>
      </c>
      <c r="S2" s="57">
        <v>117693</v>
      </c>
      <c r="T2" s="57">
        <v>117693</v>
      </c>
      <c r="U2" s="57">
        <v>117693</v>
      </c>
      <c r="V2" s="57">
        <v>117693</v>
      </c>
      <c r="W2" s="57">
        <v>118135</v>
      </c>
      <c r="X2" s="58"/>
      <c r="Y2" s="58"/>
      <c r="Z2" s="58"/>
      <c r="AA2" s="58"/>
    </row>
    <row r="3" spans="1:27" ht="14.25" x14ac:dyDescent="0.45">
      <c r="A3" s="71" t="s">
        <v>182</v>
      </c>
      <c r="B3" s="62">
        <v>54948</v>
      </c>
      <c r="C3" s="62">
        <v>54948</v>
      </c>
      <c r="D3" s="62">
        <v>54948</v>
      </c>
      <c r="E3" s="62">
        <v>78891</v>
      </c>
      <c r="F3" s="62">
        <v>78891</v>
      </c>
      <c r="G3" s="62">
        <v>78891</v>
      </c>
      <c r="H3" s="62">
        <v>78891</v>
      </c>
      <c r="I3" s="62">
        <v>89197</v>
      </c>
      <c r="J3" s="62">
        <v>89197</v>
      </c>
      <c r="K3" s="62">
        <v>89197</v>
      </c>
      <c r="L3" s="62">
        <v>89197</v>
      </c>
      <c r="M3" s="62">
        <v>89197</v>
      </c>
      <c r="N3" s="62">
        <v>89197</v>
      </c>
      <c r="O3" s="62">
        <v>108317</v>
      </c>
      <c r="P3" s="62">
        <v>108317</v>
      </c>
      <c r="Q3" s="62">
        <v>108317</v>
      </c>
      <c r="R3" s="62">
        <v>108317</v>
      </c>
      <c r="S3" s="62">
        <v>110675</v>
      </c>
      <c r="T3" s="62">
        <v>110675</v>
      </c>
      <c r="U3" s="62">
        <v>110675</v>
      </c>
      <c r="V3" s="62">
        <v>110675</v>
      </c>
      <c r="W3" s="62">
        <v>111035</v>
      </c>
      <c r="X3" s="63"/>
      <c r="Y3" s="63"/>
      <c r="Z3" s="63"/>
      <c r="AA3" s="63"/>
    </row>
    <row r="4" spans="1:27" ht="14.25" x14ac:dyDescent="0.45">
      <c r="A4" s="20" t="s">
        <v>11</v>
      </c>
      <c r="B4" s="21">
        <f t="shared" ref="B4:W4" si="0">B2-B3</f>
        <v>4211</v>
      </c>
      <c r="C4" s="21">
        <f t="shared" si="0"/>
        <v>4211</v>
      </c>
      <c r="D4" s="21">
        <f t="shared" si="0"/>
        <v>4211</v>
      </c>
      <c r="E4" s="21">
        <f t="shared" si="0"/>
        <v>3407</v>
      </c>
      <c r="F4" s="21">
        <f t="shared" si="0"/>
        <v>3407</v>
      </c>
      <c r="G4" s="21">
        <f t="shared" si="0"/>
        <v>3407</v>
      </c>
      <c r="H4" s="21">
        <f t="shared" si="0"/>
        <v>3407</v>
      </c>
      <c r="I4" s="21">
        <f t="shared" si="0"/>
        <v>5488</v>
      </c>
      <c r="J4" s="21">
        <f t="shared" si="0"/>
        <v>5488</v>
      </c>
      <c r="K4" s="21">
        <f t="shared" si="0"/>
        <v>5488</v>
      </c>
      <c r="L4" s="21">
        <f t="shared" si="0"/>
        <v>5488</v>
      </c>
      <c r="M4" s="21">
        <f t="shared" si="0"/>
        <v>5488</v>
      </c>
      <c r="N4" s="21">
        <f t="shared" si="0"/>
        <v>5488</v>
      </c>
      <c r="O4" s="21">
        <f t="shared" si="0"/>
        <v>6731</v>
      </c>
      <c r="P4" s="21">
        <f t="shared" si="0"/>
        <v>6731</v>
      </c>
      <c r="Q4" s="21">
        <f t="shared" si="0"/>
        <v>6731</v>
      </c>
      <c r="R4" s="21">
        <f t="shared" si="0"/>
        <v>6731</v>
      </c>
      <c r="S4" s="21">
        <f t="shared" si="0"/>
        <v>7018</v>
      </c>
      <c r="T4" s="21">
        <f t="shared" si="0"/>
        <v>7018</v>
      </c>
      <c r="U4" s="21">
        <f t="shared" si="0"/>
        <v>7018</v>
      </c>
      <c r="V4" s="21">
        <f t="shared" si="0"/>
        <v>7018</v>
      </c>
      <c r="W4" s="21">
        <f t="shared" si="0"/>
        <v>7100</v>
      </c>
    </row>
    <row r="5" spans="1:27" ht="14.25" x14ac:dyDescent="0.45">
      <c r="A5" s="20" t="s">
        <v>12</v>
      </c>
      <c r="B5" s="23">
        <f t="shared" ref="B5:W5" si="1">B4/SUM(B2:B3)</f>
        <v>3.6903958565206341E-2</v>
      </c>
      <c r="C5" s="23">
        <f t="shared" si="1"/>
        <v>3.6903958565206341E-2</v>
      </c>
      <c r="D5" s="23">
        <f t="shared" si="1"/>
        <v>3.6903958565206341E-2</v>
      </c>
      <c r="E5" s="23">
        <f t="shared" si="1"/>
        <v>2.1136678061158019E-2</v>
      </c>
      <c r="F5" s="23">
        <f t="shared" si="1"/>
        <v>2.1136678061158019E-2</v>
      </c>
      <c r="G5" s="23">
        <f t="shared" si="1"/>
        <v>2.1136678061158019E-2</v>
      </c>
      <c r="H5" s="23">
        <f t="shared" si="1"/>
        <v>2.1136678061158019E-2</v>
      </c>
      <c r="I5" s="23">
        <f t="shared" si="1"/>
        <v>2.9845226830249833E-2</v>
      </c>
      <c r="J5" s="23">
        <f t="shared" si="1"/>
        <v>2.9845226830249833E-2</v>
      </c>
      <c r="K5" s="23">
        <f t="shared" si="1"/>
        <v>2.9845226830249833E-2</v>
      </c>
      <c r="L5" s="23">
        <f t="shared" si="1"/>
        <v>2.9845226830249833E-2</v>
      </c>
      <c r="M5" s="23">
        <f t="shared" si="1"/>
        <v>2.9845226830249833E-2</v>
      </c>
      <c r="N5" s="23">
        <f t="shared" si="1"/>
        <v>2.9845226830249833E-2</v>
      </c>
      <c r="O5" s="23">
        <f t="shared" si="1"/>
        <v>3.0134533163208202E-2</v>
      </c>
      <c r="P5" s="23">
        <f t="shared" si="1"/>
        <v>3.0134533163208202E-2</v>
      </c>
      <c r="Q5" s="23">
        <f t="shared" si="1"/>
        <v>3.0134533163208202E-2</v>
      </c>
      <c r="R5" s="23">
        <f t="shared" si="1"/>
        <v>3.0134533163208202E-2</v>
      </c>
      <c r="S5" s="23">
        <f t="shared" si="1"/>
        <v>3.0731100679604849E-2</v>
      </c>
      <c r="T5" s="23">
        <f t="shared" si="1"/>
        <v>3.0731100679604849E-2</v>
      </c>
      <c r="U5" s="23">
        <f t="shared" si="1"/>
        <v>3.0731100679604849E-2</v>
      </c>
      <c r="V5" s="23">
        <f t="shared" si="1"/>
        <v>3.0731100679604849E-2</v>
      </c>
      <c r="W5" s="23">
        <f t="shared" si="1"/>
        <v>3.0981367543744819E-2</v>
      </c>
    </row>
    <row r="6" spans="1:27" ht="14.25" x14ac:dyDescent="0.45">
      <c r="A6" s="20" t="s">
        <v>13</v>
      </c>
      <c r="B6" s="21">
        <v>145452</v>
      </c>
      <c r="C6" s="21">
        <v>145452</v>
      </c>
      <c r="D6" s="21">
        <v>145452</v>
      </c>
      <c r="E6" s="30">
        <v>145000</v>
      </c>
      <c r="F6" s="30">
        <v>145000</v>
      </c>
      <c r="G6" s="30">
        <v>145000</v>
      </c>
      <c r="H6" s="30">
        <v>145000</v>
      </c>
      <c r="I6" s="30">
        <v>89000</v>
      </c>
      <c r="J6" s="30">
        <v>89000</v>
      </c>
      <c r="K6" s="30">
        <v>89000</v>
      </c>
      <c r="L6" s="30">
        <v>89000</v>
      </c>
      <c r="M6" s="30">
        <v>89000</v>
      </c>
      <c r="N6" s="30">
        <v>89000</v>
      </c>
      <c r="O6" s="30">
        <v>12000</v>
      </c>
      <c r="P6" s="30">
        <v>12000</v>
      </c>
      <c r="Q6" s="30">
        <v>12000</v>
      </c>
      <c r="R6" s="30">
        <v>12000</v>
      </c>
      <c r="S6" s="30">
        <v>2100</v>
      </c>
      <c r="T6" s="30">
        <v>2100</v>
      </c>
      <c r="U6" s="30">
        <v>2100</v>
      </c>
      <c r="V6" s="30">
        <v>2100</v>
      </c>
      <c r="W6" s="29">
        <v>0</v>
      </c>
    </row>
    <row r="7" spans="1:27" ht="14.25" x14ac:dyDescent="0.45">
      <c r="A7" s="25" t="s">
        <v>21</v>
      </c>
      <c r="B7" s="21">
        <v>145452</v>
      </c>
      <c r="C7" s="21">
        <v>145452</v>
      </c>
      <c r="D7" s="21">
        <v>145452</v>
      </c>
      <c r="E7" s="30">
        <v>145000</v>
      </c>
      <c r="F7" s="30">
        <v>145000</v>
      </c>
      <c r="G7" s="30">
        <v>145000</v>
      </c>
      <c r="H7" s="30">
        <v>145000</v>
      </c>
      <c r="I7" s="30">
        <v>89000</v>
      </c>
      <c r="J7" s="30">
        <v>89000</v>
      </c>
      <c r="K7" s="30">
        <v>89000</v>
      </c>
      <c r="L7" s="30">
        <v>89000</v>
      </c>
      <c r="M7" s="30">
        <v>89000</v>
      </c>
      <c r="N7" s="30">
        <v>89000</v>
      </c>
      <c r="O7" s="30">
        <v>12000</v>
      </c>
      <c r="P7" s="30">
        <v>12000</v>
      </c>
      <c r="Q7" s="30">
        <v>12000</v>
      </c>
      <c r="R7" s="30">
        <v>12000</v>
      </c>
      <c r="S7" s="30">
        <v>2100</v>
      </c>
      <c r="T7" s="30">
        <v>2100</v>
      </c>
      <c r="U7" s="30">
        <v>2100</v>
      </c>
      <c r="V7" s="30">
        <v>2100</v>
      </c>
      <c r="W7" s="29">
        <v>0</v>
      </c>
    </row>
    <row r="8" spans="1:27" ht="14.25" x14ac:dyDescent="0.45">
      <c r="A8" s="44"/>
      <c r="B8" s="45"/>
      <c r="C8" s="45"/>
      <c r="D8" s="45"/>
    </row>
    <row r="9" spans="1:27" ht="14.25" x14ac:dyDescent="0.45">
      <c r="A9" s="44"/>
      <c r="B9" s="45"/>
      <c r="C9" s="66"/>
      <c r="D9" s="66"/>
    </row>
    <row r="10" spans="1:27" ht="14.25" x14ac:dyDescent="0.45">
      <c r="A10" s="44"/>
      <c r="B10" s="45"/>
      <c r="C10" s="66"/>
      <c r="D10" s="66"/>
    </row>
    <row r="11" spans="1:27" ht="14.25" x14ac:dyDescent="0.45">
      <c r="A11" s="44"/>
      <c r="B11" s="45"/>
      <c r="C11" s="45"/>
      <c r="D11" s="45"/>
    </row>
    <row r="12" spans="1:27" ht="14.25" x14ac:dyDescent="0.45">
      <c r="A12" s="44"/>
      <c r="B12" s="45"/>
      <c r="C12" s="45"/>
      <c r="D12" s="72"/>
    </row>
    <row r="13" spans="1:27" ht="14.25" x14ac:dyDescent="0.45">
      <c r="A13" s="44"/>
      <c r="B13" s="45"/>
      <c r="C13" s="66"/>
      <c r="D13" s="66"/>
    </row>
    <row r="14" spans="1:27" ht="14.25" x14ac:dyDescent="0.45">
      <c r="A14" s="44"/>
      <c r="B14" s="45"/>
      <c r="C14" s="45"/>
      <c r="D14" s="72"/>
    </row>
    <row r="15" spans="1:27" ht="14.25" x14ac:dyDescent="0.45">
      <c r="A15" s="44"/>
      <c r="B15" s="45"/>
      <c r="C15" s="66"/>
      <c r="D15" s="66"/>
    </row>
    <row r="16" spans="1:27" ht="14.25" x14ac:dyDescent="0.45">
      <c r="A16" s="44"/>
      <c r="B16" s="45"/>
      <c r="C16" s="45"/>
      <c r="D16" s="45"/>
    </row>
    <row r="17" spans="1:27" ht="14.25" x14ac:dyDescent="0.45">
      <c r="A17" s="33"/>
    </row>
    <row r="18" spans="1:27" ht="28.5" x14ac:dyDescent="0.45">
      <c r="A18" s="34" t="s">
        <v>91</v>
      </c>
      <c r="B18" s="94" t="s">
        <v>183</v>
      </c>
      <c r="C18" s="83"/>
      <c r="D18" s="83"/>
      <c r="E18" s="8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</row>
    <row r="20" spans="1:27" ht="14.25" x14ac:dyDescent="0.45">
      <c r="A20" s="85" t="s">
        <v>184</v>
      </c>
      <c r="B20" s="83"/>
      <c r="C20" s="83"/>
      <c r="D20" s="83"/>
      <c r="E20" s="83"/>
      <c r="F20" s="83"/>
    </row>
    <row r="22" spans="1:27" ht="14.25" x14ac:dyDescent="0.45">
      <c r="A22" s="95" t="s">
        <v>185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</row>
    <row r="24" spans="1:27" ht="15.75" customHeight="1" x14ac:dyDescent="0.45">
      <c r="A24" s="82" t="s">
        <v>186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</sheetData>
  <mergeCells count="4">
    <mergeCell ref="B18:E18"/>
    <mergeCell ref="A22:R22"/>
    <mergeCell ref="A24:P24"/>
    <mergeCell ref="A20:F20"/>
  </mergeCells>
  <hyperlinks>
    <hyperlink ref="B18" r:id="rId1" xr:uid="{00000000-0004-0000-0900-000000000000}"/>
    <hyperlink ref="A22" r:id="rId2" xr:uid="{00000000-0004-0000-0900-000001000000}"/>
    <hyperlink ref="A24" r:id="rId3" xr:uid="{00000000-0004-0000-0900-000002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B27"/>
  <sheetViews>
    <sheetView workbookViewId="0"/>
  </sheetViews>
  <sheetFormatPr defaultColWidth="14.3984375" defaultRowHeight="15" customHeight="1" x14ac:dyDescent="0.45"/>
  <cols>
    <col min="1" max="1" width="24.53125" customWidth="1"/>
    <col min="2" max="2" width="7.3984375" customWidth="1"/>
    <col min="3" max="3" width="8.265625" customWidth="1"/>
    <col min="4" max="4" width="7.3984375" customWidth="1"/>
    <col min="5" max="6" width="8.265625" customWidth="1"/>
    <col min="7" max="7" width="7" customWidth="1"/>
    <col min="8" max="8" width="7.1328125" customWidth="1"/>
    <col min="9" max="9" width="8.265625" customWidth="1"/>
    <col min="10" max="14" width="9.53125" customWidth="1"/>
    <col min="15" max="15" width="8.3984375" customWidth="1"/>
  </cols>
  <sheetData>
    <row r="1" spans="1:28" ht="32.25" customHeight="1" x14ac:dyDescent="0.45">
      <c r="A1" s="1" t="s">
        <v>187</v>
      </c>
      <c r="B1" s="6" t="s">
        <v>188</v>
      </c>
      <c r="C1" s="6" t="s">
        <v>189</v>
      </c>
      <c r="D1" s="5">
        <v>44894</v>
      </c>
      <c r="E1" s="6" t="s">
        <v>190</v>
      </c>
      <c r="F1" s="4" t="s">
        <v>191</v>
      </c>
      <c r="G1" s="7">
        <v>44896</v>
      </c>
      <c r="H1" s="7">
        <v>44897</v>
      </c>
      <c r="I1" s="4" t="s">
        <v>192</v>
      </c>
      <c r="J1" s="7">
        <v>44900</v>
      </c>
      <c r="K1" s="7">
        <v>44901</v>
      </c>
      <c r="L1" s="6" t="s">
        <v>193</v>
      </c>
      <c r="M1" s="7">
        <v>44902</v>
      </c>
      <c r="N1" s="7">
        <v>44903</v>
      </c>
      <c r="O1" s="7">
        <v>44904</v>
      </c>
    </row>
    <row r="2" spans="1:28" ht="14.25" x14ac:dyDescent="0.45">
      <c r="A2" s="14" t="s">
        <v>194</v>
      </c>
      <c r="B2" s="17">
        <v>67108</v>
      </c>
      <c r="C2" s="17">
        <v>67186</v>
      </c>
      <c r="D2" s="17">
        <v>67211</v>
      </c>
      <c r="E2" s="17">
        <v>67269</v>
      </c>
      <c r="F2" s="17">
        <v>67269</v>
      </c>
      <c r="G2" s="17">
        <v>67679</v>
      </c>
      <c r="H2" s="17">
        <v>67679</v>
      </c>
      <c r="I2" s="17">
        <v>67679</v>
      </c>
      <c r="J2" s="17">
        <v>68264</v>
      </c>
      <c r="K2" s="17">
        <v>68302</v>
      </c>
      <c r="L2" s="17">
        <v>68302</v>
      </c>
      <c r="M2" s="17">
        <v>68302</v>
      </c>
      <c r="N2" s="17">
        <v>68302</v>
      </c>
      <c r="O2" s="17">
        <v>68457</v>
      </c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</row>
    <row r="3" spans="1:28" ht="14.25" x14ac:dyDescent="0.45">
      <c r="A3" s="74" t="s">
        <v>195</v>
      </c>
      <c r="B3" s="12">
        <v>67481</v>
      </c>
      <c r="C3" s="12">
        <v>67549</v>
      </c>
      <c r="D3" s="12">
        <v>67588</v>
      </c>
      <c r="E3" s="12">
        <v>67625</v>
      </c>
      <c r="F3" s="12">
        <v>67625</v>
      </c>
      <c r="G3" s="12">
        <v>67924</v>
      </c>
      <c r="H3" s="12">
        <v>67924</v>
      </c>
      <c r="I3" s="12">
        <v>67924</v>
      </c>
      <c r="J3" s="12">
        <v>68219</v>
      </c>
      <c r="K3" s="12">
        <v>68290</v>
      </c>
      <c r="L3" s="12">
        <v>68290</v>
      </c>
      <c r="M3" s="12">
        <v>68290</v>
      </c>
      <c r="N3" s="12">
        <v>68290</v>
      </c>
      <c r="O3" s="12">
        <v>68437</v>
      </c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</row>
    <row r="4" spans="1:28" ht="14.25" x14ac:dyDescent="0.45">
      <c r="A4" s="20" t="s">
        <v>11</v>
      </c>
      <c r="B4" s="21">
        <f t="shared" ref="B4:I4" si="0">B3-B2</f>
        <v>373</v>
      </c>
      <c r="C4" s="21">
        <f t="shared" si="0"/>
        <v>363</v>
      </c>
      <c r="D4" s="21">
        <f t="shared" si="0"/>
        <v>377</v>
      </c>
      <c r="E4" s="21">
        <f t="shared" si="0"/>
        <v>356</v>
      </c>
      <c r="F4" s="21">
        <f t="shared" si="0"/>
        <v>356</v>
      </c>
      <c r="G4" s="21">
        <f t="shared" si="0"/>
        <v>245</v>
      </c>
      <c r="H4" s="21">
        <f t="shared" si="0"/>
        <v>245</v>
      </c>
      <c r="I4" s="21">
        <f t="shared" si="0"/>
        <v>245</v>
      </c>
      <c r="J4" s="21">
        <f t="shared" ref="J4:O4" si="1">J2-J3</f>
        <v>45</v>
      </c>
      <c r="K4" s="21">
        <f t="shared" si="1"/>
        <v>12</v>
      </c>
      <c r="L4" s="21">
        <f t="shared" si="1"/>
        <v>12</v>
      </c>
      <c r="M4" s="21">
        <f t="shared" si="1"/>
        <v>12</v>
      </c>
      <c r="N4" s="21">
        <f t="shared" si="1"/>
        <v>12</v>
      </c>
      <c r="O4" s="21">
        <f t="shared" si="1"/>
        <v>20</v>
      </c>
    </row>
    <row r="5" spans="1:28" ht="14.25" x14ac:dyDescent="0.45">
      <c r="A5" s="20" t="s">
        <v>12</v>
      </c>
      <c r="B5" s="23">
        <f t="shared" ref="B5:O5" si="2">B4/SUM(B2:B3)</f>
        <v>2.7714003373232581E-3</v>
      </c>
      <c r="C5" s="23">
        <f t="shared" si="2"/>
        <v>2.6941774594574537E-3</v>
      </c>
      <c r="D5" s="23">
        <f t="shared" si="2"/>
        <v>2.796756652497422E-3</v>
      </c>
      <c r="E5" s="23">
        <f t="shared" si="2"/>
        <v>2.6391092265037734E-3</v>
      </c>
      <c r="F5" s="23">
        <f t="shared" si="2"/>
        <v>2.6391092265037734E-3</v>
      </c>
      <c r="G5" s="23">
        <f t="shared" si="2"/>
        <v>1.8067446885393391E-3</v>
      </c>
      <c r="H5" s="23">
        <f t="shared" si="2"/>
        <v>1.8067446885393391E-3</v>
      </c>
      <c r="I5" s="23">
        <f t="shared" si="2"/>
        <v>1.8067446885393391E-3</v>
      </c>
      <c r="J5" s="75">
        <f t="shared" si="2"/>
        <v>3.2971139262765326E-4</v>
      </c>
      <c r="K5" s="75">
        <f t="shared" si="2"/>
        <v>8.7852875717465148E-5</v>
      </c>
      <c r="L5" s="75">
        <f t="shared" si="2"/>
        <v>8.7852875717465148E-5</v>
      </c>
      <c r="M5" s="75">
        <f t="shared" si="2"/>
        <v>8.7852875717465148E-5</v>
      </c>
      <c r="N5" s="75">
        <f t="shared" si="2"/>
        <v>8.7852875717465148E-5</v>
      </c>
      <c r="O5" s="75">
        <f t="shared" si="2"/>
        <v>1.4609844112963314E-4</v>
      </c>
    </row>
    <row r="6" spans="1:28" ht="14.25" x14ac:dyDescent="0.45">
      <c r="A6" s="20" t="s">
        <v>13</v>
      </c>
      <c r="B6" s="30">
        <f t="shared" ref="B6:O6" si="3">SUM(B7:B10)</f>
        <v>6326</v>
      </c>
      <c r="C6" s="30">
        <f t="shared" si="3"/>
        <v>6302</v>
      </c>
      <c r="D6" s="30">
        <f t="shared" si="3"/>
        <v>6302</v>
      </c>
      <c r="E6" s="30">
        <f t="shared" si="3"/>
        <v>6173</v>
      </c>
      <c r="F6" s="30">
        <f t="shared" si="3"/>
        <v>6173</v>
      </c>
      <c r="G6" s="30">
        <f t="shared" si="3"/>
        <v>6173</v>
      </c>
      <c r="H6" s="30">
        <f t="shared" si="3"/>
        <v>4117</v>
      </c>
      <c r="I6" s="30">
        <f t="shared" si="3"/>
        <v>100</v>
      </c>
      <c r="J6" s="30">
        <f t="shared" si="3"/>
        <v>100</v>
      </c>
      <c r="K6" s="30">
        <f t="shared" si="3"/>
        <v>100</v>
      </c>
      <c r="L6" s="30">
        <f t="shared" si="3"/>
        <v>100</v>
      </c>
      <c r="M6" s="30">
        <f t="shared" si="3"/>
        <v>100</v>
      </c>
      <c r="N6" s="30">
        <f t="shared" si="3"/>
        <v>100</v>
      </c>
      <c r="O6" s="30">
        <f t="shared" si="3"/>
        <v>0</v>
      </c>
    </row>
    <row r="7" spans="1:28" ht="14.25" x14ac:dyDescent="0.45">
      <c r="A7" s="25" t="s">
        <v>48</v>
      </c>
      <c r="B7" s="30">
        <v>2600</v>
      </c>
      <c r="C7" s="30">
        <v>2600</v>
      </c>
      <c r="D7" s="30">
        <v>2600</v>
      </c>
      <c r="E7" s="30">
        <v>2600</v>
      </c>
      <c r="F7" s="30">
        <v>2600</v>
      </c>
      <c r="G7" s="30">
        <v>2600</v>
      </c>
      <c r="H7" s="30">
        <v>2600</v>
      </c>
      <c r="I7" s="29">
        <v>0</v>
      </c>
      <c r="J7" s="29">
        <v>0</v>
      </c>
      <c r="K7" s="29">
        <v>0</v>
      </c>
      <c r="L7" s="29">
        <v>0</v>
      </c>
      <c r="M7" s="29">
        <v>0</v>
      </c>
      <c r="N7" s="29">
        <v>0</v>
      </c>
      <c r="O7" s="29">
        <v>0</v>
      </c>
    </row>
    <row r="8" spans="1:28" ht="14.25" x14ac:dyDescent="0.45">
      <c r="A8" s="25" t="s">
        <v>71</v>
      </c>
      <c r="B8" s="30">
        <v>2776</v>
      </c>
      <c r="C8" s="30">
        <v>2776</v>
      </c>
      <c r="D8" s="30">
        <v>2776</v>
      </c>
      <c r="E8" s="30">
        <v>2776</v>
      </c>
      <c r="F8" s="30">
        <v>2776</v>
      </c>
      <c r="G8" s="30">
        <v>2776</v>
      </c>
      <c r="H8" s="29">
        <v>720</v>
      </c>
      <c r="I8" s="29">
        <v>100</v>
      </c>
      <c r="J8" s="29">
        <v>100</v>
      </c>
      <c r="K8" s="29">
        <v>100</v>
      </c>
      <c r="L8" s="29">
        <v>100</v>
      </c>
      <c r="M8" s="29">
        <v>100</v>
      </c>
      <c r="N8" s="29">
        <v>100</v>
      </c>
      <c r="O8" s="29">
        <v>0</v>
      </c>
    </row>
    <row r="9" spans="1:28" ht="14.25" x14ac:dyDescent="0.45">
      <c r="A9" s="25" t="s">
        <v>72</v>
      </c>
      <c r="B9" s="29">
        <v>24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29">
        <v>0</v>
      </c>
      <c r="N9" s="29">
        <v>0</v>
      </c>
      <c r="O9" s="29">
        <v>0</v>
      </c>
    </row>
    <row r="10" spans="1:28" ht="14.25" x14ac:dyDescent="0.45">
      <c r="A10" s="25" t="s">
        <v>73</v>
      </c>
      <c r="B10" s="29">
        <v>926</v>
      </c>
      <c r="C10" s="29">
        <v>926</v>
      </c>
      <c r="D10" s="29">
        <v>926</v>
      </c>
      <c r="E10" s="29">
        <v>797</v>
      </c>
      <c r="F10" s="29">
        <v>797</v>
      </c>
      <c r="G10" s="29">
        <v>797</v>
      </c>
      <c r="H10" s="29">
        <v>797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</row>
    <row r="11" spans="1:28" ht="14.25" x14ac:dyDescent="0.45">
      <c r="A11" s="44"/>
    </row>
    <row r="12" spans="1:28" ht="14.25" x14ac:dyDescent="0.45">
      <c r="A12" s="44"/>
    </row>
    <row r="13" spans="1:28" ht="14.25" x14ac:dyDescent="0.45">
      <c r="A13" s="44"/>
    </row>
    <row r="14" spans="1:28" ht="14.25" x14ac:dyDescent="0.45">
      <c r="A14" s="44"/>
    </row>
    <row r="15" spans="1:28" ht="14.25" x14ac:dyDescent="0.45">
      <c r="A15" s="44"/>
    </row>
    <row r="16" spans="1:28" ht="14.25" x14ac:dyDescent="0.45">
      <c r="A16" s="44"/>
    </row>
    <row r="17" spans="1:26" ht="14.25" x14ac:dyDescent="0.45">
      <c r="A17" s="33"/>
    </row>
    <row r="18" spans="1:26" ht="28.5" x14ac:dyDescent="0.45">
      <c r="A18" s="34" t="s">
        <v>91</v>
      </c>
      <c r="B18" s="94" t="s">
        <v>196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</row>
    <row r="20" spans="1:26" ht="14.25" x14ac:dyDescent="0.45">
      <c r="A20" s="85" t="s">
        <v>197</v>
      </c>
      <c r="B20" s="83"/>
      <c r="C20" s="83"/>
      <c r="D20" s="83"/>
      <c r="E20" s="83"/>
      <c r="F20" s="83"/>
    </row>
    <row r="22" spans="1:26" ht="14.25" x14ac:dyDescent="0.45">
      <c r="A22" s="82" t="s">
        <v>198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</row>
    <row r="23" spans="1:26" ht="14.25" x14ac:dyDescent="0.45">
      <c r="A23" s="82" t="s">
        <v>199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</row>
    <row r="24" spans="1:26" ht="15.75" customHeight="1" x14ac:dyDescent="0.45">
      <c r="A24" s="82" t="s">
        <v>200</v>
      </c>
      <c r="B24" s="83"/>
      <c r="C24" s="83"/>
      <c r="D24" s="83"/>
      <c r="E24" s="83"/>
      <c r="F24" s="83"/>
      <c r="G24" s="83"/>
      <c r="H24" s="83"/>
      <c r="I24" s="83"/>
      <c r="J24" s="83"/>
    </row>
    <row r="25" spans="1:26" ht="15.75" customHeight="1" x14ac:dyDescent="0.45">
      <c r="A25" s="82" t="s">
        <v>201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36"/>
      <c r="W25" s="36"/>
      <c r="X25" s="36"/>
      <c r="Y25" s="36"/>
      <c r="Z25" s="36"/>
    </row>
    <row r="27" spans="1:26" ht="14.25" x14ac:dyDescent="0.45">
      <c r="A27" s="82" t="s">
        <v>202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</row>
  </sheetData>
  <mergeCells count="7">
    <mergeCell ref="A27:S27"/>
    <mergeCell ref="A20:F20"/>
    <mergeCell ref="B18:L18"/>
    <mergeCell ref="A22:M22"/>
    <mergeCell ref="A23:S23"/>
    <mergeCell ref="A24:J24"/>
    <mergeCell ref="A25:U25"/>
  </mergeCells>
  <hyperlinks>
    <hyperlink ref="B18" r:id="rId1" xr:uid="{00000000-0004-0000-0A00-000000000000}"/>
    <hyperlink ref="A22" r:id="rId2" xr:uid="{00000000-0004-0000-0A00-000001000000}"/>
    <hyperlink ref="A23" r:id="rId3" xr:uid="{00000000-0004-0000-0A00-000002000000}"/>
    <hyperlink ref="A24" r:id="rId4" xr:uid="{00000000-0004-0000-0A00-000003000000}"/>
    <hyperlink ref="A25" r:id="rId5" xr:uid="{00000000-0004-0000-0A00-000004000000}"/>
    <hyperlink ref="A27" r:id="rId6" xr:uid="{00000000-0004-0000-0A00-000005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A22"/>
  <sheetViews>
    <sheetView workbookViewId="0"/>
  </sheetViews>
  <sheetFormatPr defaultColWidth="14.3984375" defaultRowHeight="15" customHeight="1" x14ac:dyDescent="0.45"/>
  <cols>
    <col min="1" max="1" width="25.265625" customWidth="1"/>
    <col min="2" max="2" width="10.3984375" customWidth="1"/>
    <col min="3" max="3" width="9.86328125" customWidth="1"/>
    <col min="4" max="4" width="9.73046875" customWidth="1"/>
    <col min="5" max="5" width="10.53125" customWidth="1"/>
    <col min="6" max="6" width="9.1328125" customWidth="1"/>
    <col min="7" max="7" width="8.265625" customWidth="1"/>
    <col min="8" max="8" width="9.1328125" customWidth="1"/>
    <col min="9" max="9" width="8.265625" customWidth="1"/>
    <col min="10" max="10" width="7" customWidth="1"/>
    <col min="11" max="12" width="7.3984375" customWidth="1"/>
    <col min="13" max="13" width="8.265625" customWidth="1"/>
    <col min="14" max="14" width="7.3984375" customWidth="1"/>
    <col min="15" max="16" width="8.265625" customWidth="1"/>
    <col min="17" max="18" width="7.1328125" customWidth="1"/>
    <col min="19" max="19" width="8.265625" customWidth="1"/>
    <col min="20" max="21" width="7.1328125" customWidth="1"/>
    <col min="22" max="22" width="8.265625" customWidth="1"/>
    <col min="23" max="23" width="7" customWidth="1"/>
  </cols>
  <sheetData>
    <row r="1" spans="1:27" ht="28.5" x14ac:dyDescent="0.45">
      <c r="A1" s="1" t="s">
        <v>203</v>
      </c>
      <c r="B1" s="2">
        <v>44881</v>
      </c>
      <c r="C1" s="2">
        <v>44882</v>
      </c>
      <c r="D1" s="2">
        <v>44883</v>
      </c>
      <c r="E1" s="6" t="s">
        <v>204</v>
      </c>
      <c r="F1" s="5">
        <v>44886</v>
      </c>
      <c r="G1" s="38" t="s">
        <v>205</v>
      </c>
      <c r="H1" s="5">
        <v>44887</v>
      </c>
      <c r="I1" s="6" t="s">
        <v>206</v>
      </c>
      <c r="J1" s="37">
        <v>44888</v>
      </c>
      <c r="K1" s="5">
        <v>44889</v>
      </c>
      <c r="L1" s="5">
        <v>44893</v>
      </c>
      <c r="M1" s="6" t="s">
        <v>207</v>
      </c>
      <c r="N1" s="5">
        <v>44894</v>
      </c>
      <c r="O1" s="6" t="s">
        <v>208</v>
      </c>
      <c r="P1" s="6" t="s">
        <v>209</v>
      </c>
      <c r="Q1" s="7">
        <v>44896</v>
      </c>
      <c r="R1" s="7">
        <v>44897</v>
      </c>
      <c r="S1" s="6" t="s">
        <v>210</v>
      </c>
      <c r="T1" s="7">
        <v>44900</v>
      </c>
      <c r="U1" s="7">
        <v>44901</v>
      </c>
      <c r="V1" s="6" t="s">
        <v>193</v>
      </c>
      <c r="W1" s="76">
        <v>44902</v>
      </c>
      <c r="X1" s="39"/>
      <c r="Y1" s="39"/>
      <c r="Z1" s="39"/>
      <c r="AA1" s="39"/>
    </row>
    <row r="2" spans="1:27" ht="14.25" customHeight="1" x14ac:dyDescent="0.45">
      <c r="A2" s="74" t="s">
        <v>211</v>
      </c>
      <c r="B2" s="12">
        <v>48289</v>
      </c>
      <c r="C2" s="12">
        <v>48289</v>
      </c>
      <c r="D2" s="12">
        <v>48289</v>
      </c>
      <c r="E2" s="12">
        <v>61902</v>
      </c>
      <c r="F2" s="12">
        <v>61902</v>
      </c>
      <c r="G2" s="12">
        <v>61902</v>
      </c>
      <c r="H2" s="12">
        <v>61902</v>
      </c>
      <c r="I2" s="12">
        <v>73100</v>
      </c>
      <c r="J2" s="12">
        <v>73100</v>
      </c>
      <c r="K2" s="12">
        <v>73100</v>
      </c>
      <c r="L2" s="12">
        <v>73100</v>
      </c>
      <c r="M2" s="12">
        <v>73100</v>
      </c>
      <c r="N2" s="12">
        <v>73100</v>
      </c>
      <c r="O2" s="12">
        <v>82226</v>
      </c>
      <c r="P2" s="12">
        <v>82226</v>
      </c>
      <c r="Q2" s="12">
        <v>82226</v>
      </c>
      <c r="R2" s="12">
        <v>82226</v>
      </c>
      <c r="S2" s="12">
        <v>83400</v>
      </c>
      <c r="T2" s="12">
        <v>83400</v>
      </c>
      <c r="U2" s="12">
        <v>83400</v>
      </c>
      <c r="V2" s="12">
        <v>83400</v>
      </c>
      <c r="W2" s="12">
        <v>83768</v>
      </c>
      <c r="X2" s="40"/>
      <c r="Y2" s="40"/>
      <c r="Z2" s="40"/>
      <c r="AA2" s="40"/>
    </row>
    <row r="3" spans="1:27" ht="14.25" x14ac:dyDescent="0.45">
      <c r="A3" s="14" t="s">
        <v>212</v>
      </c>
      <c r="B3" s="48">
        <v>49195</v>
      </c>
      <c r="C3" s="48">
        <v>49195</v>
      </c>
      <c r="D3" s="48">
        <v>49195</v>
      </c>
      <c r="E3" s="17">
        <v>61886</v>
      </c>
      <c r="F3" s="17">
        <v>61886</v>
      </c>
      <c r="G3" s="17">
        <v>61886</v>
      </c>
      <c r="H3" s="17">
        <v>61886</v>
      </c>
      <c r="I3" s="17">
        <v>71532</v>
      </c>
      <c r="J3" s="17">
        <v>71532</v>
      </c>
      <c r="K3" s="17">
        <v>71532</v>
      </c>
      <c r="L3" s="17">
        <v>71532</v>
      </c>
      <c r="M3" s="17">
        <v>71532</v>
      </c>
      <c r="N3" s="17">
        <v>71532</v>
      </c>
      <c r="O3" s="77">
        <v>80749</v>
      </c>
      <c r="P3" s="77">
        <v>80749</v>
      </c>
      <c r="Q3" s="77">
        <v>80749</v>
      </c>
      <c r="R3" s="77">
        <v>80749</v>
      </c>
      <c r="S3" s="17">
        <v>82009</v>
      </c>
      <c r="T3" s="17">
        <v>82009</v>
      </c>
      <c r="U3" s="17">
        <v>82009</v>
      </c>
      <c r="V3" s="17">
        <v>82009</v>
      </c>
      <c r="W3" s="17">
        <v>82385</v>
      </c>
      <c r="X3" s="41"/>
      <c r="Y3" s="41"/>
      <c r="Z3" s="41"/>
      <c r="AA3" s="41"/>
    </row>
    <row r="4" spans="1:27" ht="14.25" x14ac:dyDescent="0.45">
      <c r="A4" s="20" t="s">
        <v>11</v>
      </c>
      <c r="B4" s="21">
        <f t="shared" ref="B4:D4" si="0">B3-B2</f>
        <v>906</v>
      </c>
      <c r="C4" s="21">
        <f t="shared" si="0"/>
        <v>906</v>
      </c>
      <c r="D4" s="21">
        <f t="shared" si="0"/>
        <v>906</v>
      </c>
      <c r="E4" s="21">
        <f t="shared" ref="E4:W4" si="1">E2-E3</f>
        <v>16</v>
      </c>
      <c r="F4" s="21">
        <f t="shared" si="1"/>
        <v>16</v>
      </c>
      <c r="G4" s="21">
        <f t="shared" si="1"/>
        <v>16</v>
      </c>
      <c r="H4" s="21">
        <f t="shared" si="1"/>
        <v>16</v>
      </c>
      <c r="I4" s="21">
        <f t="shared" si="1"/>
        <v>1568</v>
      </c>
      <c r="J4" s="21">
        <f t="shared" si="1"/>
        <v>1568</v>
      </c>
      <c r="K4" s="21">
        <f t="shared" si="1"/>
        <v>1568</v>
      </c>
      <c r="L4" s="21">
        <f t="shared" si="1"/>
        <v>1568</v>
      </c>
      <c r="M4" s="21">
        <f t="shared" si="1"/>
        <v>1568</v>
      </c>
      <c r="N4" s="21">
        <f t="shared" si="1"/>
        <v>1568</v>
      </c>
      <c r="O4" s="21">
        <f t="shared" si="1"/>
        <v>1477</v>
      </c>
      <c r="P4" s="21">
        <f t="shared" si="1"/>
        <v>1477</v>
      </c>
      <c r="Q4" s="21">
        <f t="shared" si="1"/>
        <v>1477</v>
      </c>
      <c r="R4" s="21">
        <f t="shared" si="1"/>
        <v>1477</v>
      </c>
      <c r="S4" s="21">
        <f t="shared" si="1"/>
        <v>1391</v>
      </c>
      <c r="T4" s="21">
        <f t="shared" si="1"/>
        <v>1391</v>
      </c>
      <c r="U4" s="21">
        <f t="shared" si="1"/>
        <v>1391</v>
      </c>
      <c r="V4" s="21">
        <f t="shared" si="1"/>
        <v>1391</v>
      </c>
      <c r="W4" s="21">
        <f t="shared" si="1"/>
        <v>1383</v>
      </c>
    </row>
    <row r="5" spans="1:27" ht="14.25" x14ac:dyDescent="0.45">
      <c r="A5" s="20" t="s">
        <v>12</v>
      </c>
      <c r="B5" s="23">
        <f t="shared" ref="B5:W5" si="2">B4/SUM(B2:B3)</f>
        <v>9.293832834106109E-3</v>
      </c>
      <c r="C5" s="23">
        <f t="shared" si="2"/>
        <v>9.293832834106109E-3</v>
      </c>
      <c r="D5" s="23">
        <f t="shared" si="2"/>
        <v>9.293832834106109E-3</v>
      </c>
      <c r="E5" s="78">
        <f t="shared" si="2"/>
        <v>1.292532394093127E-4</v>
      </c>
      <c r="F5" s="78">
        <f t="shared" si="2"/>
        <v>1.292532394093127E-4</v>
      </c>
      <c r="G5" s="78">
        <f t="shared" si="2"/>
        <v>1.292532394093127E-4</v>
      </c>
      <c r="H5" s="78">
        <f t="shared" si="2"/>
        <v>1.292532394093127E-4</v>
      </c>
      <c r="I5" s="23">
        <f t="shared" si="2"/>
        <v>1.0841307594446596E-2</v>
      </c>
      <c r="J5" s="23">
        <f t="shared" si="2"/>
        <v>1.0841307594446596E-2</v>
      </c>
      <c r="K5" s="23">
        <f t="shared" si="2"/>
        <v>1.0841307594446596E-2</v>
      </c>
      <c r="L5" s="23">
        <f t="shared" si="2"/>
        <v>1.0841307594446596E-2</v>
      </c>
      <c r="M5" s="23">
        <f t="shared" si="2"/>
        <v>1.0841307594446596E-2</v>
      </c>
      <c r="N5" s="23">
        <f t="shared" si="2"/>
        <v>1.0841307594446596E-2</v>
      </c>
      <c r="O5" s="23">
        <f t="shared" si="2"/>
        <v>9.0627396840006133E-3</v>
      </c>
      <c r="P5" s="23">
        <f t="shared" si="2"/>
        <v>9.0627396840006133E-3</v>
      </c>
      <c r="Q5" s="23">
        <f t="shared" si="2"/>
        <v>9.0627396840006133E-3</v>
      </c>
      <c r="R5" s="23">
        <f t="shared" si="2"/>
        <v>9.0627396840006133E-3</v>
      </c>
      <c r="S5" s="23">
        <f t="shared" si="2"/>
        <v>8.4094577683197416E-3</v>
      </c>
      <c r="T5" s="23">
        <f t="shared" si="2"/>
        <v>8.4094577683197416E-3</v>
      </c>
      <c r="U5" s="23">
        <f t="shared" si="2"/>
        <v>8.4094577683197416E-3</v>
      </c>
      <c r="V5" s="23">
        <f t="shared" si="2"/>
        <v>8.4094577683197416E-3</v>
      </c>
      <c r="W5" s="23">
        <f t="shared" si="2"/>
        <v>8.3236535000872688E-3</v>
      </c>
    </row>
    <row r="6" spans="1:27" ht="14.25" x14ac:dyDescent="0.45">
      <c r="A6" s="20" t="s">
        <v>13</v>
      </c>
      <c r="B6" s="21">
        <v>145452</v>
      </c>
      <c r="C6" s="21">
        <v>145452</v>
      </c>
      <c r="D6" s="21">
        <v>145452</v>
      </c>
      <c r="E6" s="32">
        <v>145000</v>
      </c>
      <c r="F6" s="32">
        <v>145000</v>
      </c>
      <c r="G6" s="32">
        <v>145000</v>
      </c>
      <c r="H6" s="32">
        <v>145000</v>
      </c>
      <c r="I6" s="30">
        <v>89000</v>
      </c>
      <c r="J6" s="30">
        <v>89000</v>
      </c>
      <c r="K6" s="30">
        <v>89000</v>
      </c>
      <c r="L6" s="30">
        <v>89000</v>
      </c>
      <c r="M6" s="30">
        <v>89000</v>
      </c>
      <c r="N6" s="30">
        <v>89000</v>
      </c>
      <c r="O6" s="30">
        <v>12000</v>
      </c>
      <c r="P6" s="30">
        <v>12000</v>
      </c>
      <c r="Q6" s="30">
        <v>12000</v>
      </c>
      <c r="R6" s="30">
        <v>12000</v>
      </c>
      <c r="S6" s="30">
        <v>2100</v>
      </c>
      <c r="T6" s="30">
        <v>2100</v>
      </c>
      <c r="U6" s="30">
        <v>2100</v>
      </c>
      <c r="V6" s="30">
        <v>2100</v>
      </c>
      <c r="W6" s="29">
        <v>0</v>
      </c>
    </row>
    <row r="7" spans="1:27" ht="14.25" x14ac:dyDescent="0.45">
      <c r="A7" s="25" t="s">
        <v>21</v>
      </c>
      <c r="B7" s="21">
        <v>145452</v>
      </c>
      <c r="C7" s="21">
        <v>145452</v>
      </c>
      <c r="D7" s="21">
        <v>145452</v>
      </c>
      <c r="E7" s="32">
        <v>145000</v>
      </c>
      <c r="F7" s="32">
        <v>145000</v>
      </c>
      <c r="G7" s="32">
        <v>145000</v>
      </c>
      <c r="H7" s="32">
        <v>145000</v>
      </c>
      <c r="I7" s="30">
        <v>89000</v>
      </c>
      <c r="J7" s="30">
        <v>89000</v>
      </c>
      <c r="K7" s="30">
        <v>89000</v>
      </c>
      <c r="L7" s="30">
        <v>89000</v>
      </c>
      <c r="M7" s="30">
        <v>89000</v>
      </c>
      <c r="N7" s="30">
        <v>89000</v>
      </c>
      <c r="O7" s="30">
        <v>12000</v>
      </c>
      <c r="P7" s="30">
        <v>12000</v>
      </c>
      <c r="Q7" s="30">
        <v>12000</v>
      </c>
      <c r="R7" s="30">
        <v>12000</v>
      </c>
      <c r="S7" s="30">
        <v>2100</v>
      </c>
      <c r="T7" s="30">
        <v>2100</v>
      </c>
      <c r="U7" s="30">
        <v>2100</v>
      </c>
      <c r="V7" s="30">
        <v>2100</v>
      </c>
      <c r="W7" s="29">
        <v>0</v>
      </c>
    </row>
    <row r="8" spans="1:27" ht="14.25" x14ac:dyDescent="0.45">
      <c r="A8" s="44"/>
      <c r="B8" s="45"/>
      <c r="C8" s="45"/>
      <c r="D8" s="45"/>
    </row>
    <row r="9" spans="1:27" ht="14.25" x14ac:dyDescent="0.45">
      <c r="A9" s="44"/>
      <c r="B9" s="45"/>
      <c r="C9" s="66"/>
      <c r="D9" s="66"/>
    </row>
    <row r="10" spans="1:27" ht="14.25" x14ac:dyDescent="0.45">
      <c r="A10" s="44"/>
      <c r="B10" s="45"/>
      <c r="C10" s="66"/>
      <c r="D10" s="66"/>
    </row>
    <row r="11" spans="1:27" ht="14.25" x14ac:dyDescent="0.45">
      <c r="A11" s="44"/>
      <c r="B11" s="45"/>
      <c r="C11" s="45"/>
      <c r="D11" s="45"/>
    </row>
    <row r="12" spans="1:27" ht="14.25" x14ac:dyDescent="0.45">
      <c r="A12" s="44"/>
      <c r="B12" s="45"/>
      <c r="C12" s="45"/>
      <c r="D12" s="72"/>
    </row>
    <row r="13" spans="1:27" ht="14.25" x14ac:dyDescent="0.45">
      <c r="A13" s="44"/>
      <c r="B13" s="45"/>
      <c r="C13" s="66"/>
      <c r="D13" s="66"/>
    </row>
    <row r="14" spans="1:27" ht="14.25" x14ac:dyDescent="0.45">
      <c r="A14" s="44"/>
      <c r="B14" s="45"/>
      <c r="C14" s="45"/>
      <c r="D14" s="72"/>
    </row>
    <row r="15" spans="1:27" ht="14.25" x14ac:dyDescent="0.45">
      <c r="A15" s="44"/>
      <c r="B15" s="45"/>
      <c r="C15" s="66"/>
      <c r="D15" s="66"/>
    </row>
    <row r="16" spans="1:27" ht="14.25" x14ac:dyDescent="0.45">
      <c r="A16" s="44"/>
      <c r="B16" s="45"/>
      <c r="C16" s="45"/>
      <c r="D16" s="45"/>
    </row>
    <row r="17" spans="1:27" ht="14.25" x14ac:dyDescent="0.45">
      <c r="A17" s="33"/>
    </row>
    <row r="18" spans="1:27" ht="28.5" x14ac:dyDescent="0.45">
      <c r="A18" s="34" t="s">
        <v>91</v>
      </c>
      <c r="B18" s="94" t="s">
        <v>183</v>
      </c>
      <c r="C18" s="83"/>
      <c r="D18" s="83"/>
      <c r="E18" s="8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</row>
    <row r="20" spans="1:27" ht="14.25" x14ac:dyDescent="0.45">
      <c r="A20" s="85" t="s">
        <v>213</v>
      </c>
      <c r="B20" s="83"/>
      <c r="C20" s="83"/>
      <c r="D20" s="83"/>
      <c r="E20" s="83"/>
      <c r="F20" s="83"/>
    </row>
    <row r="22" spans="1:27" ht="15.75" customHeight="1" x14ac:dyDescent="0.45">
      <c r="A22" s="82" t="s">
        <v>214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</sheetData>
  <mergeCells count="3">
    <mergeCell ref="B18:E18"/>
    <mergeCell ref="A22:P22"/>
    <mergeCell ref="A20:F20"/>
  </mergeCells>
  <hyperlinks>
    <hyperlink ref="B18" r:id="rId1" xr:uid="{00000000-0004-0000-0B00-000000000000}"/>
    <hyperlink ref="A22" r:id="rId2" xr:uid="{00000000-0004-0000-0B00-000001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22"/>
  <sheetViews>
    <sheetView topLeftCell="E1" workbookViewId="0"/>
  </sheetViews>
  <sheetFormatPr defaultColWidth="14.3984375" defaultRowHeight="15" customHeight="1" x14ac:dyDescent="0.45"/>
  <cols>
    <col min="1" max="1" width="33.53125" customWidth="1"/>
    <col min="2" max="2" width="8.265625" customWidth="1"/>
    <col min="3" max="5" width="8" customWidth="1"/>
    <col min="6" max="6" width="7.3984375" customWidth="1"/>
    <col min="7" max="7" width="8" customWidth="1"/>
    <col min="8" max="8" width="7.3984375" customWidth="1"/>
    <col min="9" max="9" width="8.265625" customWidth="1"/>
    <col min="10" max="12" width="7.3984375" customWidth="1"/>
    <col min="13" max="13" width="8.265625" customWidth="1"/>
    <col min="14" max="14" width="7.3984375" customWidth="1"/>
    <col min="15" max="16" width="8.265625" customWidth="1"/>
    <col min="17" max="18" width="7.1328125" customWidth="1"/>
    <col min="19" max="19" width="8.265625" customWidth="1"/>
    <col min="20" max="21" width="7.1328125" customWidth="1"/>
  </cols>
  <sheetData>
    <row r="1" spans="1:26" ht="28.5" x14ac:dyDescent="0.45">
      <c r="A1" s="1" t="s">
        <v>215</v>
      </c>
      <c r="B1" s="2">
        <v>44881</v>
      </c>
      <c r="C1" s="2">
        <v>44882</v>
      </c>
      <c r="D1" s="2">
        <v>44883</v>
      </c>
      <c r="E1" s="6" t="s">
        <v>216</v>
      </c>
      <c r="F1" s="5">
        <v>44886</v>
      </c>
      <c r="G1" s="38" t="s">
        <v>205</v>
      </c>
      <c r="H1" s="5">
        <v>44887</v>
      </c>
      <c r="I1" s="6" t="s">
        <v>217</v>
      </c>
      <c r="J1" s="5">
        <v>44888</v>
      </c>
      <c r="K1" s="5">
        <v>44889</v>
      </c>
      <c r="L1" s="5">
        <v>44893</v>
      </c>
      <c r="M1" s="38" t="s">
        <v>218</v>
      </c>
      <c r="N1" s="5">
        <v>44894</v>
      </c>
      <c r="O1" s="6" t="s">
        <v>219</v>
      </c>
      <c r="P1" s="6" t="s">
        <v>220</v>
      </c>
      <c r="Q1" s="7">
        <v>44896</v>
      </c>
      <c r="R1" s="7">
        <v>44897</v>
      </c>
      <c r="S1" s="6" t="s">
        <v>221</v>
      </c>
      <c r="T1" s="7">
        <v>44900</v>
      </c>
      <c r="U1" s="7">
        <v>44901</v>
      </c>
      <c r="V1" s="39"/>
      <c r="W1" s="39"/>
      <c r="X1" s="39"/>
      <c r="Y1" s="39"/>
      <c r="Z1" s="39"/>
    </row>
    <row r="2" spans="1:26" ht="14.25" x14ac:dyDescent="0.45">
      <c r="A2" s="14" t="s">
        <v>222</v>
      </c>
      <c r="B2" s="48">
        <v>49195</v>
      </c>
      <c r="C2" s="16">
        <v>66119</v>
      </c>
      <c r="D2" s="16">
        <v>69774</v>
      </c>
      <c r="E2" s="17">
        <v>74859</v>
      </c>
      <c r="F2" s="17">
        <v>79282</v>
      </c>
      <c r="G2" s="17">
        <v>79282</v>
      </c>
      <c r="H2" s="17">
        <v>79282</v>
      </c>
      <c r="I2" s="17">
        <v>79562</v>
      </c>
      <c r="J2" s="17">
        <v>79562</v>
      </c>
      <c r="K2" s="17">
        <v>79562</v>
      </c>
      <c r="L2" s="17">
        <v>79562</v>
      </c>
      <c r="M2" s="17">
        <v>79562</v>
      </c>
      <c r="N2" s="17">
        <v>79562</v>
      </c>
      <c r="O2" s="17">
        <v>79794</v>
      </c>
      <c r="P2" s="17">
        <v>79794</v>
      </c>
      <c r="Q2" s="17">
        <v>79794</v>
      </c>
      <c r="R2" s="17">
        <v>79794</v>
      </c>
      <c r="S2" s="17">
        <v>79827</v>
      </c>
      <c r="T2" s="17">
        <v>79827</v>
      </c>
      <c r="U2" s="17">
        <v>79852</v>
      </c>
      <c r="V2" s="41"/>
      <c r="W2" s="41"/>
      <c r="X2" s="41"/>
      <c r="Y2" s="41"/>
      <c r="Z2" s="41"/>
    </row>
    <row r="3" spans="1:26" ht="14.25" x14ac:dyDescent="0.45">
      <c r="A3" s="74" t="s">
        <v>223</v>
      </c>
      <c r="B3" s="12">
        <v>48289</v>
      </c>
      <c r="C3" s="12">
        <v>68571</v>
      </c>
      <c r="D3" s="12">
        <v>71632</v>
      </c>
      <c r="E3" s="12">
        <v>75656</v>
      </c>
      <c r="F3" s="12">
        <v>78771</v>
      </c>
      <c r="G3" s="12">
        <v>78771</v>
      </c>
      <c r="H3" s="12">
        <v>78771</v>
      </c>
      <c r="I3" s="12">
        <v>79064</v>
      </c>
      <c r="J3" s="12">
        <v>79064</v>
      </c>
      <c r="K3" s="12">
        <v>79064</v>
      </c>
      <c r="L3" s="12">
        <v>79064</v>
      </c>
      <c r="M3" s="12">
        <v>79064</v>
      </c>
      <c r="N3" s="12">
        <v>79064</v>
      </c>
      <c r="O3" s="12">
        <v>79249</v>
      </c>
      <c r="P3" s="12">
        <v>79249</v>
      </c>
      <c r="Q3" s="12">
        <v>79249</v>
      </c>
      <c r="R3" s="12">
        <v>79249</v>
      </c>
      <c r="S3" s="12">
        <v>79271</v>
      </c>
      <c r="T3" s="12">
        <v>79271</v>
      </c>
      <c r="U3" s="12">
        <v>79330</v>
      </c>
      <c r="V3" s="40"/>
      <c r="W3" s="40"/>
      <c r="X3" s="40"/>
      <c r="Y3" s="40"/>
      <c r="Z3" s="40"/>
    </row>
    <row r="4" spans="1:26" ht="14.25" x14ac:dyDescent="0.45">
      <c r="A4" s="20" t="s">
        <v>11</v>
      </c>
      <c r="B4" s="21">
        <f>B2-B3</f>
        <v>906</v>
      </c>
      <c r="C4" s="21">
        <f t="shared" ref="C4:E4" si="0">C3-C2</f>
        <v>2452</v>
      </c>
      <c r="D4" s="21">
        <f t="shared" si="0"/>
        <v>1858</v>
      </c>
      <c r="E4" s="21">
        <f t="shared" si="0"/>
        <v>797</v>
      </c>
      <c r="F4" s="21">
        <f t="shared" ref="F4:U4" si="1">F2-F3</f>
        <v>511</v>
      </c>
      <c r="G4" s="21">
        <f t="shared" si="1"/>
        <v>511</v>
      </c>
      <c r="H4" s="21">
        <f t="shared" si="1"/>
        <v>511</v>
      </c>
      <c r="I4" s="21">
        <f t="shared" si="1"/>
        <v>498</v>
      </c>
      <c r="J4" s="21">
        <f t="shared" si="1"/>
        <v>498</v>
      </c>
      <c r="K4" s="21">
        <f t="shared" si="1"/>
        <v>498</v>
      </c>
      <c r="L4" s="21">
        <f t="shared" si="1"/>
        <v>498</v>
      </c>
      <c r="M4" s="21">
        <f t="shared" si="1"/>
        <v>498</v>
      </c>
      <c r="N4" s="21">
        <f t="shared" si="1"/>
        <v>498</v>
      </c>
      <c r="O4" s="21">
        <f t="shared" si="1"/>
        <v>545</v>
      </c>
      <c r="P4" s="21">
        <f t="shared" si="1"/>
        <v>545</v>
      </c>
      <c r="Q4" s="21">
        <f t="shared" si="1"/>
        <v>545</v>
      </c>
      <c r="R4" s="21">
        <f t="shared" si="1"/>
        <v>545</v>
      </c>
      <c r="S4" s="21">
        <f t="shared" si="1"/>
        <v>556</v>
      </c>
      <c r="T4" s="21">
        <f t="shared" si="1"/>
        <v>556</v>
      </c>
      <c r="U4" s="21">
        <f t="shared" si="1"/>
        <v>522</v>
      </c>
    </row>
    <row r="5" spans="1:26" ht="14.25" x14ac:dyDescent="0.45">
      <c r="A5" s="20" t="s">
        <v>12</v>
      </c>
      <c r="B5" s="23">
        <f t="shared" ref="B5:U5" si="2">B4/SUM(B2:B3)</f>
        <v>9.293832834106109E-3</v>
      </c>
      <c r="C5" s="23">
        <f t="shared" si="2"/>
        <v>1.8204766500853814E-2</v>
      </c>
      <c r="D5" s="23">
        <f t="shared" si="2"/>
        <v>1.313947074381568E-2</v>
      </c>
      <c r="E5" s="23">
        <f t="shared" si="2"/>
        <v>5.2951533069793711E-3</v>
      </c>
      <c r="F5" s="23">
        <f t="shared" si="2"/>
        <v>3.2330926967536204E-3</v>
      </c>
      <c r="G5" s="23">
        <f t="shared" si="2"/>
        <v>3.2330926967536204E-3</v>
      </c>
      <c r="H5" s="23">
        <f t="shared" si="2"/>
        <v>3.2330926967536204E-3</v>
      </c>
      <c r="I5" s="23">
        <f t="shared" si="2"/>
        <v>3.1394601137266272E-3</v>
      </c>
      <c r="J5" s="23">
        <f t="shared" si="2"/>
        <v>3.1394601137266272E-3</v>
      </c>
      <c r="K5" s="23">
        <f t="shared" si="2"/>
        <v>3.1394601137266272E-3</v>
      </c>
      <c r="L5" s="23">
        <f t="shared" si="2"/>
        <v>3.1394601137266272E-3</v>
      </c>
      <c r="M5" s="23">
        <f t="shared" si="2"/>
        <v>3.1394601137266272E-3</v>
      </c>
      <c r="N5" s="23">
        <f t="shared" si="2"/>
        <v>3.1394601137266272E-3</v>
      </c>
      <c r="O5" s="23">
        <f t="shared" si="2"/>
        <v>3.4267462258634456E-3</v>
      </c>
      <c r="P5" s="23">
        <f t="shared" si="2"/>
        <v>3.4267462258634456E-3</v>
      </c>
      <c r="Q5" s="23">
        <f t="shared" si="2"/>
        <v>3.4267462258634456E-3</v>
      </c>
      <c r="R5" s="23">
        <f t="shared" si="2"/>
        <v>3.4267462258634456E-3</v>
      </c>
      <c r="S5" s="23">
        <f t="shared" si="2"/>
        <v>3.4947013790242493E-3</v>
      </c>
      <c r="T5" s="23">
        <f t="shared" si="2"/>
        <v>3.4947013790242493E-3</v>
      </c>
      <c r="U5" s="23">
        <f t="shared" si="2"/>
        <v>3.2792652435576887E-3</v>
      </c>
    </row>
    <row r="6" spans="1:26" ht="14.25" x14ac:dyDescent="0.45">
      <c r="A6" s="20" t="s">
        <v>13</v>
      </c>
      <c r="B6" s="21">
        <v>655300</v>
      </c>
      <c r="C6" s="21">
        <v>463050</v>
      </c>
      <c r="D6" s="21">
        <v>463050</v>
      </c>
      <c r="E6" s="30">
        <v>332550</v>
      </c>
      <c r="F6" s="30">
        <v>332550</v>
      </c>
      <c r="G6" s="30">
        <v>332550</v>
      </c>
      <c r="H6" s="30">
        <v>25250</v>
      </c>
      <c r="I6" s="30">
        <v>25250</v>
      </c>
      <c r="J6" s="30">
        <v>25250</v>
      </c>
      <c r="K6" s="30">
        <v>15105</v>
      </c>
      <c r="L6" s="30">
        <v>15105</v>
      </c>
      <c r="M6" s="30">
        <v>15105</v>
      </c>
      <c r="N6" s="30">
        <v>15105</v>
      </c>
      <c r="O6" s="30">
        <v>15105</v>
      </c>
      <c r="P6" s="30">
        <v>11405</v>
      </c>
      <c r="Q6" s="30">
        <v>11405</v>
      </c>
      <c r="R6" s="30">
        <v>11405</v>
      </c>
      <c r="S6" s="30">
        <v>11405</v>
      </c>
      <c r="T6" s="30">
        <v>11405</v>
      </c>
      <c r="U6" s="30">
        <v>0</v>
      </c>
    </row>
    <row r="7" spans="1:26" ht="14.25" x14ac:dyDescent="0.45">
      <c r="A7" s="25" t="s">
        <v>90</v>
      </c>
      <c r="B7" s="21">
        <v>655300</v>
      </c>
      <c r="C7" s="26">
        <v>463050</v>
      </c>
      <c r="D7" s="26">
        <v>463050</v>
      </c>
      <c r="E7" s="30">
        <v>332550</v>
      </c>
      <c r="F7" s="30">
        <v>332550</v>
      </c>
      <c r="G7" s="30">
        <v>332550</v>
      </c>
      <c r="H7" s="30">
        <v>25250</v>
      </c>
      <c r="I7" s="30">
        <v>25250</v>
      </c>
      <c r="J7" s="30">
        <v>25250</v>
      </c>
      <c r="K7" s="30">
        <v>15105</v>
      </c>
      <c r="L7" s="30">
        <v>15105</v>
      </c>
      <c r="M7" s="30">
        <v>15105</v>
      </c>
      <c r="N7" s="30">
        <v>15105</v>
      </c>
      <c r="O7" s="30">
        <v>15105</v>
      </c>
      <c r="P7" s="30">
        <v>11405</v>
      </c>
      <c r="Q7" s="30">
        <v>11405</v>
      </c>
      <c r="R7" s="30">
        <v>11405</v>
      </c>
      <c r="S7" s="30">
        <v>11405</v>
      </c>
      <c r="T7" s="30">
        <v>11405</v>
      </c>
      <c r="U7" s="30">
        <v>0</v>
      </c>
    </row>
    <row r="8" spans="1:26" ht="14.25" x14ac:dyDescent="0.45">
      <c r="A8" s="44"/>
      <c r="B8" s="45"/>
      <c r="C8" s="45"/>
      <c r="D8" s="45"/>
    </row>
    <row r="9" spans="1:26" ht="14.25" x14ac:dyDescent="0.45">
      <c r="A9" s="44"/>
      <c r="B9" s="45"/>
      <c r="C9" s="66"/>
      <c r="D9" s="66"/>
    </row>
    <row r="10" spans="1:26" ht="14.25" x14ac:dyDescent="0.45">
      <c r="A10" s="44"/>
      <c r="B10" s="45"/>
      <c r="C10" s="66"/>
      <c r="D10" s="66"/>
    </row>
    <row r="11" spans="1:26" ht="14.25" x14ac:dyDescent="0.45">
      <c r="A11" s="44"/>
      <c r="B11" s="45"/>
      <c r="C11" s="45"/>
      <c r="D11" s="45"/>
    </row>
    <row r="12" spans="1:26" ht="14.25" x14ac:dyDescent="0.45">
      <c r="A12" s="44"/>
      <c r="B12" s="45"/>
      <c r="C12" s="45"/>
      <c r="D12" s="72"/>
    </row>
    <row r="13" spans="1:26" ht="14.25" x14ac:dyDescent="0.45">
      <c r="A13" s="44"/>
      <c r="B13" s="45"/>
      <c r="C13" s="66"/>
      <c r="D13" s="66"/>
    </row>
    <row r="14" spans="1:26" ht="14.25" x14ac:dyDescent="0.45">
      <c r="A14" s="44"/>
      <c r="B14" s="45"/>
      <c r="C14" s="45"/>
      <c r="D14" s="72"/>
    </row>
    <row r="15" spans="1:26" ht="14.25" x14ac:dyDescent="0.45">
      <c r="A15" s="44"/>
      <c r="B15" s="45"/>
      <c r="C15" s="66"/>
      <c r="D15" s="66"/>
    </row>
    <row r="16" spans="1:26" ht="14.25" x14ac:dyDescent="0.45">
      <c r="A16" s="44"/>
      <c r="B16" s="45"/>
      <c r="C16" s="45"/>
      <c r="D16" s="45"/>
    </row>
    <row r="17" spans="1:24" ht="14.25" x14ac:dyDescent="0.45">
      <c r="A17" s="33"/>
    </row>
    <row r="18" spans="1:24" ht="14.25" x14ac:dyDescent="0.45">
      <c r="A18" s="34" t="s">
        <v>91</v>
      </c>
      <c r="B18" s="96" t="s">
        <v>224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</row>
    <row r="20" spans="1:24" ht="14.25" x14ac:dyDescent="0.45">
      <c r="A20" s="85" t="s">
        <v>225</v>
      </c>
      <c r="B20" s="83"/>
      <c r="C20" s="83"/>
      <c r="D20" s="83"/>
      <c r="E20" s="83"/>
      <c r="F20" s="83"/>
    </row>
    <row r="22" spans="1:24" ht="15.75" customHeight="1" x14ac:dyDescent="0.45">
      <c r="A22" s="82" t="s">
        <v>226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</row>
  </sheetData>
  <mergeCells count="3">
    <mergeCell ref="B18:L18"/>
    <mergeCell ref="A22:M22"/>
    <mergeCell ref="A20:F20"/>
  </mergeCells>
  <hyperlinks>
    <hyperlink ref="B18" r:id="rId1" xr:uid="{00000000-0004-0000-0C00-000000000000}"/>
    <hyperlink ref="A22" r:id="rId2" xr:uid="{00000000-0004-0000-0C00-000001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22"/>
  <sheetViews>
    <sheetView workbookViewId="0"/>
  </sheetViews>
  <sheetFormatPr defaultColWidth="14.3984375" defaultRowHeight="15" customHeight="1" x14ac:dyDescent="0.45"/>
  <cols>
    <col min="1" max="1" width="31.53125" customWidth="1"/>
    <col min="2" max="3" width="8" customWidth="1"/>
    <col min="4" max="4" width="7.3984375" customWidth="1"/>
    <col min="5" max="5" width="8.265625" customWidth="1"/>
    <col min="6" max="6" width="9.265625" customWidth="1"/>
    <col min="7" max="10" width="8.3984375" customWidth="1"/>
    <col min="11" max="24" width="9.53125" customWidth="1"/>
  </cols>
  <sheetData>
    <row r="1" spans="1:26" ht="28.5" x14ac:dyDescent="0.45">
      <c r="A1" s="1" t="s">
        <v>227</v>
      </c>
      <c r="B1" s="2">
        <v>44881</v>
      </c>
      <c r="C1" s="2">
        <v>44882</v>
      </c>
      <c r="D1" s="2">
        <v>44883</v>
      </c>
      <c r="E1" s="6" t="s">
        <v>228</v>
      </c>
      <c r="F1" s="5">
        <v>44886</v>
      </c>
      <c r="G1" s="38" t="s">
        <v>229</v>
      </c>
      <c r="H1" s="5">
        <v>44887</v>
      </c>
      <c r="I1" s="6" t="s">
        <v>230</v>
      </c>
      <c r="J1" s="5">
        <v>44888</v>
      </c>
      <c r="K1" s="5">
        <v>44889</v>
      </c>
      <c r="L1" s="5">
        <v>44893</v>
      </c>
      <c r="M1" s="6" t="s">
        <v>231</v>
      </c>
      <c r="N1" s="5">
        <v>44894</v>
      </c>
      <c r="O1" s="6" t="s">
        <v>232</v>
      </c>
      <c r="P1" s="6" t="s">
        <v>233</v>
      </c>
      <c r="Q1" s="7">
        <v>44896</v>
      </c>
      <c r="R1" s="7">
        <v>44897</v>
      </c>
      <c r="S1" s="6" t="s">
        <v>234</v>
      </c>
      <c r="T1" s="7">
        <v>44900</v>
      </c>
      <c r="U1" s="7">
        <v>44901</v>
      </c>
      <c r="V1" s="6" t="s">
        <v>235</v>
      </c>
      <c r="W1" s="7">
        <v>44902</v>
      </c>
      <c r="X1" s="7">
        <v>44903</v>
      </c>
      <c r="Y1" s="39"/>
      <c r="Z1" s="39"/>
    </row>
    <row r="2" spans="1:26" ht="14.25" customHeight="1" x14ac:dyDescent="0.45">
      <c r="A2" s="80" t="s">
        <v>236</v>
      </c>
      <c r="B2" s="12">
        <v>67839</v>
      </c>
      <c r="C2" s="12">
        <v>75934</v>
      </c>
      <c r="D2" s="12">
        <v>78363</v>
      </c>
      <c r="E2" s="12">
        <v>80034</v>
      </c>
      <c r="F2" s="12">
        <v>82819</v>
      </c>
      <c r="G2" s="12">
        <v>82819</v>
      </c>
      <c r="H2" s="12">
        <v>83192</v>
      </c>
      <c r="I2" s="12">
        <v>83284</v>
      </c>
      <c r="J2" s="12">
        <v>83284</v>
      </c>
      <c r="K2" s="12">
        <v>83926</v>
      </c>
      <c r="L2" s="12">
        <v>83926</v>
      </c>
      <c r="M2" s="12">
        <v>83926</v>
      </c>
      <c r="N2" s="12">
        <v>83926</v>
      </c>
      <c r="O2" s="12">
        <v>84420</v>
      </c>
      <c r="P2" s="12">
        <v>84434</v>
      </c>
      <c r="Q2" s="12">
        <v>84434</v>
      </c>
      <c r="R2" s="12">
        <v>84647</v>
      </c>
      <c r="S2" s="12">
        <v>84669</v>
      </c>
      <c r="T2" s="12">
        <v>84669</v>
      </c>
      <c r="U2" s="12">
        <v>84686</v>
      </c>
      <c r="V2" s="12">
        <v>84686</v>
      </c>
      <c r="W2" s="12">
        <v>84723</v>
      </c>
      <c r="X2" s="12">
        <v>84752</v>
      </c>
      <c r="Y2" s="40"/>
      <c r="Z2" s="40"/>
    </row>
    <row r="3" spans="1:26" ht="14.25" x14ac:dyDescent="0.45">
      <c r="A3" s="14" t="s">
        <v>237</v>
      </c>
      <c r="B3" s="48">
        <v>68962</v>
      </c>
      <c r="C3" s="16">
        <v>77173</v>
      </c>
      <c r="D3" s="16">
        <v>79501</v>
      </c>
      <c r="E3" s="17">
        <v>80637</v>
      </c>
      <c r="F3" s="17">
        <v>82828</v>
      </c>
      <c r="G3" s="17">
        <v>82828</v>
      </c>
      <c r="H3" s="17">
        <v>83289</v>
      </c>
      <c r="I3" s="17">
        <v>83352</v>
      </c>
      <c r="J3" s="17">
        <v>83352</v>
      </c>
      <c r="K3" s="17">
        <v>83978</v>
      </c>
      <c r="L3" s="17">
        <v>83978</v>
      </c>
      <c r="M3" s="17">
        <v>83978</v>
      </c>
      <c r="N3" s="17">
        <v>83978</v>
      </c>
      <c r="O3" s="17">
        <v>84408</v>
      </c>
      <c r="P3" s="17">
        <v>84455</v>
      </c>
      <c r="Q3" s="17">
        <v>84455</v>
      </c>
      <c r="R3" s="17">
        <v>84627</v>
      </c>
      <c r="S3" s="17">
        <v>84635</v>
      </c>
      <c r="T3" s="17">
        <v>84635</v>
      </c>
      <c r="U3" s="17">
        <v>84651</v>
      </c>
      <c r="V3" s="17">
        <v>84651</v>
      </c>
      <c r="W3" s="17">
        <v>84654</v>
      </c>
      <c r="X3" s="17">
        <v>84667</v>
      </c>
      <c r="Y3" s="41"/>
      <c r="Z3" s="41"/>
    </row>
    <row r="4" spans="1:26" ht="14.25" x14ac:dyDescent="0.45">
      <c r="A4" s="20" t="s">
        <v>11</v>
      </c>
      <c r="B4" s="21">
        <f t="shared" ref="B4:N4" si="0">B3-B2</f>
        <v>1123</v>
      </c>
      <c r="C4" s="21">
        <f t="shared" si="0"/>
        <v>1239</v>
      </c>
      <c r="D4" s="21">
        <f t="shared" si="0"/>
        <v>1138</v>
      </c>
      <c r="E4" s="21">
        <f t="shared" si="0"/>
        <v>603</v>
      </c>
      <c r="F4" s="21">
        <f t="shared" si="0"/>
        <v>9</v>
      </c>
      <c r="G4" s="21">
        <f t="shared" si="0"/>
        <v>9</v>
      </c>
      <c r="H4" s="21">
        <f t="shared" si="0"/>
        <v>97</v>
      </c>
      <c r="I4" s="21">
        <f t="shared" si="0"/>
        <v>68</v>
      </c>
      <c r="J4" s="21">
        <f t="shared" si="0"/>
        <v>68</v>
      </c>
      <c r="K4" s="21">
        <f t="shared" si="0"/>
        <v>52</v>
      </c>
      <c r="L4" s="21">
        <f t="shared" si="0"/>
        <v>52</v>
      </c>
      <c r="M4" s="21">
        <f t="shared" si="0"/>
        <v>52</v>
      </c>
      <c r="N4" s="21">
        <f t="shared" si="0"/>
        <v>52</v>
      </c>
      <c r="O4" s="21">
        <f>O2-O3</f>
        <v>12</v>
      </c>
      <c r="P4" s="21">
        <f t="shared" ref="P4:Q4" si="1">P3-P2</f>
        <v>21</v>
      </c>
      <c r="Q4" s="21">
        <f t="shared" si="1"/>
        <v>21</v>
      </c>
      <c r="R4" s="21">
        <f t="shared" ref="R4:X4" si="2">R2-R3</f>
        <v>20</v>
      </c>
      <c r="S4" s="21">
        <f t="shared" si="2"/>
        <v>34</v>
      </c>
      <c r="T4" s="21">
        <f t="shared" si="2"/>
        <v>34</v>
      </c>
      <c r="U4" s="21">
        <f t="shared" si="2"/>
        <v>35</v>
      </c>
      <c r="V4" s="21">
        <f t="shared" si="2"/>
        <v>35</v>
      </c>
      <c r="W4" s="21">
        <f t="shared" si="2"/>
        <v>69</v>
      </c>
      <c r="X4" s="21">
        <f t="shared" si="2"/>
        <v>85</v>
      </c>
    </row>
    <row r="5" spans="1:26" ht="14.25" x14ac:dyDescent="0.45">
      <c r="A5" s="20" t="s">
        <v>12</v>
      </c>
      <c r="B5" s="23">
        <f t="shared" ref="B5:X5" si="3">B4/SUM(B2:B3)</f>
        <v>8.2090043201438583E-3</v>
      </c>
      <c r="C5" s="23">
        <f t="shared" si="3"/>
        <v>8.092379838936169E-3</v>
      </c>
      <c r="D5" s="23">
        <f t="shared" si="3"/>
        <v>7.2087366340647645E-3</v>
      </c>
      <c r="E5" s="23">
        <f t="shared" si="3"/>
        <v>3.753010810911739E-3</v>
      </c>
      <c r="F5" s="81">
        <f t="shared" si="3"/>
        <v>5.433240565781451E-5</v>
      </c>
      <c r="G5" s="81">
        <f t="shared" si="3"/>
        <v>5.433240565781451E-5</v>
      </c>
      <c r="H5" s="81">
        <f t="shared" si="3"/>
        <v>5.8264907106516663E-4</v>
      </c>
      <c r="I5" s="81">
        <f t="shared" si="3"/>
        <v>4.0807508581579011E-4</v>
      </c>
      <c r="J5" s="81">
        <f t="shared" si="3"/>
        <v>4.0807508581579011E-4</v>
      </c>
      <c r="K5" s="81">
        <f t="shared" si="3"/>
        <v>3.0970078139889458E-4</v>
      </c>
      <c r="L5" s="81">
        <f t="shared" si="3"/>
        <v>3.0970078139889458E-4</v>
      </c>
      <c r="M5" s="81">
        <f t="shared" si="3"/>
        <v>3.0970078139889458E-4</v>
      </c>
      <c r="N5" s="81">
        <f t="shared" si="3"/>
        <v>3.0970078139889458E-4</v>
      </c>
      <c r="O5" s="81">
        <f t="shared" si="3"/>
        <v>7.1078257161134414E-5</v>
      </c>
      <c r="P5" s="81">
        <f t="shared" si="3"/>
        <v>1.2434202345919509E-4</v>
      </c>
      <c r="Q5" s="81">
        <f t="shared" si="3"/>
        <v>1.2434202345919509E-4</v>
      </c>
      <c r="R5" s="81">
        <f t="shared" si="3"/>
        <v>1.1815163580939778E-4</v>
      </c>
      <c r="S5" s="81">
        <f t="shared" si="3"/>
        <v>2.008221896706516E-4</v>
      </c>
      <c r="T5" s="81">
        <f t="shared" si="3"/>
        <v>2.008221896706516E-4</v>
      </c>
      <c r="U5" s="81">
        <f t="shared" si="3"/>
        <v>2.0668843784878675E-4</v>
      </c>
      <c r="V5" s="81">
        <f t="shared" si="3"/>
        <v>2.0668843784878675E-4</v>
      </c>
      <c r="W5" s="81">
        <f t="shared" si="3"/>
        <v>4.0737526346552367E-4</v>
      </c>
      <c r="X5" s="81">
        <f t="shared" si="3"/>
        <v>5.0171468371316085E-4</v>
      </c>
    </row>
    <row r="6" spans="1:26" ht="14.25" x14ac:dyDescent="0.45">
      <c r="A6" s="20" t="s">
        <v>13</v>
      </c>
      <c r="B6" s="21">
        <f t="shared" ref="B6:X6" si="4">SUM(B7:B8)</f>
        <v>192300</v>
      </c>
      <c r="C6" s="21">
        <f t="shared" si="4"/>
        <v>116500</v>
      </c>
      <c r="D6" s="21">
        <f t="shared" si="4"/>
        <v>92500</v>
      </c>
      <c r="E6" s="21">
        <f t="shared" si="4"/>
        <v>46700</v>
      </c>
      <c r="F6" s="21">
        <f t="shared" si="4"/>
        <v>30700</v>
      </c>
      <c r="G6" s="21">
        <f t="shared" si="4"/>
        <v>30700</v>
      </c>
      <c r="H6" s="21">
        <f t="shared" si="4"/>
        <v>20300</v>
      </c>
      <c r="I6" s="21">
        <f t="shared" si="4"/>
        <v>18600</v>
      </c>
      <c r="J6" s="21">
        <f t="shared" si="4"/>
        <v>18600</v>
      </c>
      <c r="K6" s="21">
        <f t="shared" si="4"/>
        <v>14600</v>
      </c>
      <c r="L6" s="21">
        <f t="shared" si="4"/>
        <v>14600</v>
      </c>
      <c r="M6" s="21">
        <f t="shared" si="4"/>
        <v>14600</v>
      </c>
      <c r="N6" s="21">
        <f t="shared" si="4"/>
        <v>14600</v>
      </c>
      <c r="O6" s="21">
        <f t="shared" si="4"/>
        <v>5425</v>
      </c>
      <c r="P6" s="21">
        <f t="shared" si="4"/>
        <v>4650</v>
      </c>
      <c r="Q6" s="21">
        <f t="shared" si="4"/>
        <v>4650</v>
      </c>
      <c r="R6" s="21">
        <f t="shared" si="4"/>
        <v>3150</v>
      </c>
      <c r="S6" s="21">
        <f t="shared" si="4"/>
        <v>2250</v>
      </c>
      <c r="T6" s="21">
        <f t="shared" si="4"/>
        <v>2250</v>
      </c>
      <c r="U6" s="21">
        <f t="shared" si="4"/>
        <v>2050</v>
      </c>
      <c r="V6" s="21">
        <f t="shared" si="4"/>
        <v>2050</v>
      </c>
      <c r="W6" s="21">
        <f t="shared" si="4"/>
        <v>1851</v>
      </c>
      <c r="X6" s="21">
        <f t="shared" si="4"/>
        <v>0</v>
      </c>
    </row>
    <row r="7" spans="1:26" ht="14.25" x14ac:dyDescent="0.45">
      <c r="A7" s="25" t="s">
        <v>119</v>
      </c>
      <c r="B7" s="21">
        <v>67000</v>
      </c>
      <c r="C7" s="26">
        <v>27000</v>
      </c>
      <c r="D7" s="26">
        <v>47000</v>
      </c>
      <c r="E7" s="30">
        <v>27000</v>
      </c>
      <c r="F7" s="30">
        <v>15000</v>
      </c>
      <c r="G7" s="30">
        <v>15000</v>
      </c>
      <c r="H7" s="30">
        <v>8000</v>
      </c>
      <c r="I7" s="30">
        <v>8000</v>
      </c>
      <c r="J7" s="30">
        <v>8000</v>
      </c>
      <c r="K7" s="30">
        <v>4000</v>
      </c>
      <c r="L7" s="30">
        <v>4000</v>
      </c>
      <c r="M7" s="30">
        <v>4000</v>
      </c>
      <c r="N7" s="30">
        <v>4000</v>
      </c>
      <c r="O7" s="30">
        <v>1000</v>
      </c>
      <c r="P7" s="30">
        <v>1000</v>
      </c>
      <c r="Q7" s="30">
        <v>1000</v>
      </c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</row>
    <row r="8" spans="1:26" ht="14.25" x14ac:dyDescent="0.45">
      <c r="A8" s="25" t="s">
        <v>238</v>
      </c>
      <c r="B8" s="26">
        <v>125300</v>
      </c>
      <c r="C8" s="26">
        <v>89500</v>
      </c>
      <c r="D8" s="26">
        <v>45500</v>
      </c>
      <c r="E8" s="30">
        <v>19700</v>
      </c>
      <c r="F8" s="30">
        <v>15700</v>
      </c>
      <c r="G8" s="30">
        <v>15700</v>
      </c>
      <c r="H8" s="30">
        <v>12300</v>
      </c>
      <c r="I8" s="30">
        <v>10600</v>
      </c>
      <c r="J8" s="30">
        <v>10600</v>
      </c>
      <c r="K8" s="30">
        <v>10600</v>
      </c>
      <c r="L8" s="30">
        <v>10600</v>
      </c>
      <c r="M8" s="30">
        <v>10600</v>
      </c>
      <c r="N8" s="30">
        <v>10600</v>
      </c>
      <c r="O8" s="30">
        <v>4425</v>
      </c>
      <c r="P8" s="30">
        <v>3650</v>
      </c>
      <c r="Q8" s="30">
        <v>3650</v>
      </c>
      <c r="R8" s="30">
        <v>3150</v>
      </c>
      <c r="S8" s="30">
        <v>2250</v>
      </c>
      <c r="T8" s="30">
        <v>2250</v>
      </c>
      <c r="U8" s="30">
        <v>2050</v>
      </c>
      <c r="V8" s="30">
        <v>2050</v>
      </c>
      <c r="W8" s="30">
        <v>1851</v>
      </c>
      <c r="X8" s="29">
        <v>0</v>
      </c>
    </row>
    <row r="9" spans="1:26" ht="14.25" x14ac:dyDescent="0.45">
      <c r="A9" s="44"/>
      <c r="B9" s="45"/>
      <c r="C9" s="66"/>
      <c r="D9" s="66"/>
    </row>
    <row r="10" spans="1:26" ht="14.25" x14ac:dyDescent="0.45">
      <c r="A10" s="44"/>
      <c r="B10" s="45"/>
      <c r="C10" s="66"/>
      <c r="D10" s="66"/>
    </row>
    <row r="11" spans="1:26" ht="14.25" x14ac:dyDescent="0.45">
      <c r="A11" s="44"/>
      <c r="B11" s="45"/>
      <c r="C11" s="45"/>
      <c r="D11" s="45"/>
    </row>
    <row r="12" spans="1:26" ht="14.25" x14ac:dyDescent="0.45">
      <c r="A12" s="44"/>
      <c r="B12" s="45"/>
      <c r="C12" s="45"/>
      <c r="D12" s="72"/>
    </row>
    <row r="13" spans="1:26" ht="14.25" x14ac:dyDescent="0.45">
      <c r="A13" s="44"/>
      <c r="B13" s="45"/>
      <c r="C13" s="66"/>
      <c r="D13" s="66"/>
    </row>
    <row r="14" spans="1:26" ht="14.25" x14ac:dyDescent="0.45">
      <c r="A14" s="44"/>
      <c r="B14" s="45"/>
      <c r="C14" s="45"/>
      <c r="D14" s="72"/>
    </row>
    <row r="15" spans="1:26" ht="14.25" x14ac:dyDescent="0.45">
      <c r="A15" s="44"/>
      <c r="B15" s="45"/>
      <c r="C15" s="66"/>
      <c r="D15" s="66"/>
    </row>
    <row r="16" spans="1:26" ht="14.25" x14ac:dyDescent="0.45">
      <c r="A16" s="44"/>
      <c r="B16" s="45"/>
      <c r="C16" s="45"/>
      <c r="D16" s="45"/>
    </row>
    <row r="17" spans="1:24" ht="14.25" x14ac:dyDescent="0.45">
      <c r="A17" s="33"/>
    </row>
    <row r="18" spans="1:24" ht="28.5" x14ac:dyDescent="0.45">
      <c r="A18" s="34" t="s">
        <v>91</v>
      </c>
      <c r="B18" s="94" t="s">
        <v>239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</row>
    <row r="20" spans="1:24" ht="35.25" customHeight="1" x14ac:dyDescent="0.45">
      <c r="A20" s="85" t="s">
        <v>240</v>
      </c>
      <c r="B20" s="83"/>
      <c r="C20" s="83"/>
      <c r="D20" s="83"/>
      <c r="E20" s="83"/>
      <c r="F20" s="83"/>
      <c r="G20" s="36"/>
      <c r="H20" s="36"/>
      <c r="I20" s="36"/>
      <c r="J20" s="36"/>
      <c r="K20" s="36"/>
      <c r="L20" s="36"/>
      <c r="M20" s="36"/>
    </row>
    <row r="21" spans="1:24" ht="15.75" customHeight="1" x14ac:dyDescent="0.4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</row>
    <row r="22" spans="1:24" ht="15.75" customHeight="1" x14ac:dyDescent="0.45">
      <c r="A22" s="82" t="s">
        <v>241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</row>
  </sheetData>
  <mergeCells count="3">
    <mergeCell ref="B18:X18"/>
    <mergeCell ref="A22:M22"/>
    <mergeCell ref="A20:F20"/>
  </mergeCells>
  <hyperlinks>
    <hyperlink ref="B18" r:id="rId1" xr:uid="{00000000-0004-0000-0D00-000000000000}"/>
    <hyperlink ref="A22" r:id="rId2" xr:uid="{00000000-0004-0000-0D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CD-3</vt:lpstr>
      <vt:lpstr>CD-13</vt:lpstr>
      <vt:lpstr>CD-22</vt:lpstr>
      <vt:lpstr>CD-27</vt:lpstr>
      <vt:lpstr>CD-34</vt:lpstr>
      <vt:lpstr>CD-41</vt:lpstr>
      <vt:lpstr>CD-45</vt:lpstr>
      <vt:lpstr>CD-47</vt:lpstr>
      <vt:lpstr>CD-49</vt:lpstr>
      <vt:lpstr>SD-08</vt:lpstr>
      <vt:lpstr>SD-16</vt:lpstr>
      <vt:lpstr>AD-7</vt:lpstr>
      <vt:lpstr>AD-40</vt:lpstr>
      <vt:lpstr>AD-47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samantha.abelove@calvoter.org</dc:creator>
  <cp:lastModifiedBy>Ricky Rojas</cp:lastModifiedBy>
  <dcterms:created xsi:type="dcterms:W3CDTF">2022-11-14T17:04:27Z</dcterms:created>
  <dcterms:modified xsi:type="dcterms:W3CDTF">2026-05-15T22:59:14Z</dcterms:modified>
</cp:coreProperties>
</file>