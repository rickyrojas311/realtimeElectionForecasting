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D-3" sheetId="1" r:id="rId4"/>
    <sheet state="visible" name="CD-13" sheetId="2" r:id="rId5"/>
    <sheet state="visible" name="CD-22" sheetId="3" r:id="rId6"/>
    <sheet state="visible" name="CD-27" sheetId="4" r:id="rId7"/>
    <sheet state="visible" name="CD-34" sheetId="5" r:id="rId8"/>
    <sheet state="visible" name="CD-41" sheetId="6" r:id="rId9"/>
    <sheet state="visible" name="CD-45" sheetId="7" r:id="rId10"/>
    <sheet state="visible" name="CD-47" sheetId="8" r:id="rId11"/>
    <sheet state="visible" name="CD-49" sheetId="9" r:id="rId12"/>
    <sheet state="visible" name="SD-08" sheetId="10" r:id="rId13"/>
    <sheet state="visible" name="SD-16" sheetId="11" r:id="rId14"/>
    <sheet state="visible" name="AD-7" sheetId="12" r:id="rId15"/>
    <sheet state="visible" name="AD-40" sheetId="13" r:id="rId16"/>
    <sheet state="visible" name="AD-47" sheetId="14" r:id="rId17"/>
    <sheet state="visible" name="LA Mayoral Race" sheetId="15" r:id="rId18"/>
    <sheet state="visible" name="About" sheetId="16" r:id="rId19"/>
  </sheets>
  <definedNames/>
  <calcPr/>
  <extLst>
    <ext uri="GoogleSheetsCustomDataVersion2">
      <go:sheetsCustomData xmlns:go="http://customooxmlschemas.google.com/" r:id="rId20" roundtripDataChecksum="vPf3NOaXcuCyf6F2g/P7TLNodv8WXe5uCnvek+WTMMU="/>
    </ext>
  </extLst>
</workbook>
</file>

<file path=xl/sharedStrings.xml><?xml version="1.0" encoding="utf-8"?>
<sst xmlns="http://schemas.openxmlformats.org/spreadsheetml/2006/main" count="334" uniqueCount="258">
  <si>
    <t>CD 3</t>
  </si>
  <si>
    <t>18-Nov
5:37 PM</t>
  </si>
  <si>
    <t>21-Nov
1:26 PM</t>
  </si>
  <si>
    <t>22-Nov
4:40 PM</t>
  </si>
  <si>
    <t>28-Nov
2:58 PM</t>
  </si>
  <si>
    <t>29-Nov
7:24 PM</t>
  </si>
  <si>
    <t>30-Nov
4:40 PM</t>
  </si>
  <si>
    <t>02-Dec
6:02 PM</t>
  </si>
  <si>
    <t>06-Dec
1:50 PM</t>
  </si>
  <si>
    <t xml:space="preserve">Kevin Kiley (R) Votes </t>
  </si>
  <si>
    <t xml:space="preserve">Kermit Jones (D) Votes </t>
  </si>
  <si>
    <t>Vote Difference</t>
  </si>
  <si>
    <t>Margin</t>
  </si>
  <si>
    <t>Total Unprocessed Ballots*</t>
  </si>
  <si>
    <t>Alpine</t>
  </si>
  <si>
    <t>El Dorado</t>
  </si>
  <si>
    <t>Inyo</t>
  </si>
  <si>
    <t>Mono</t>
  </si>
  <si>
    <t>Nevada</t>
  </si>
  <si>
    <t>Placer</t>
  </si>
  <si>
    <t>Plumas</t>
  </si>
  <si>
    <t>Sacramento</t>
  </si>
  <si>
    <t>Sierra</t>
  </si>
  <si>
    <t>Yuba</t>
  </si>
  <si>
    <t>Sources for unprocessed ballot numbers</t>
  </si>
  <si>
    <r>
      <rPr>
        <rFont val="Calibri"/>
        <color rgb="FF000000"/>
        <sz val="11.0"/>
      </rPr>
      <t>Alpine, El Dorado, Nevada, Placer, Plumas and Sierra:</t>
    </r>
    <r>
      <rPr>
        <rFont val="Calibri"/>
        <color rgb="FF0563C1"/>
        <sz val="11.0"/>
      </rPr>
      <t xml:space="preserve"> </t>
    </r>
    <r>
      <rPr>
        <rFont val="Calibri"/>
        <color rgb="FF1155CC"/>
        <sz val="11.0"/>
        <u/>
      </rPr>
      <t xml:space="preserve">https://elections.cdn.sos.ca.gov/statewide-elections/2022-general/unprocessed-ballots-report.pdf </t>
    </r>
    <r>
      <rPr>
        <rFont val="Calibri"/>
        <color rgb="FF0563C1"/>
        <sz val="11.0"/>
      </rPr>
      <t xml:space="preserve">
</t>
    </r>
    <r>
      <rPr>
        <rFont val="Calibri"/>
        <color rgb="FF000000"/>
        <sz val="11.0"/>
      </rPr>
      <t xml:space="preserve">Inyo: </t>
    </r>
    <r>
      <rPr>
        <rFont val="Calibri"/>
        <color rgb="FF1155CC"/>
        <sz val="11.0"/>
        <u/>
      </rPr>
      <t xml:space="preserve">https://elections.inyocounty.us/results/ </t>
    </r>
    <r>
      <rPr>
        <rFont val="Calibri"/>
        <color rgb="FF0563C1"/>
        <sz val="11.0"/>
      </rPr>
      <t xml:space="preserve">
</t>
    </r>
    <r>
      <rPr>
        <rFont val="Calibri"/>
        <color rgb="FF000000"/>
        <sz val="11.0"/>
      </rPr>
      <t xml:space="preserve">Mono: </t>
    </r>
    <r>
      <rPr>
        <rFont val="Calibri"/>
        <color rgb="FF1155CC"/>
        <sz val="11.0"/>
        <u/>
      </rPr>
      <t xml:space="preserve">https://www.monocounty.ca.gov/elections/page/november-8-2022-general-election-results </t>
    </r>
    <r>
      <rPr>
        <rFont val="Calibri"/>
        <color rgb="FF0563C1"/>
        <sz val="11.0"/>
      </rPr>
      <t xml:space="preserve">
</t>
    </r>
    <r>
      <rPr>
        <rFont val="Calibri"/>
        <color rgb="FF000000"/>
        <sz val="11.0"/>
      </rPr>
      <t>Sacramento:</t>
    </r>
    <r>
      <rPr>
        <rFont val="Calibri"/>
        <color rgb="FF1155CC"/>
        <sz val="11.0"/>
        <u/>
      </rPr>
      <t xml:space="preserve"> https://results.saccounty.gov/Default.aspx </t>
    </r>
    <r>
      <rPr>
        <rFont val="Calibri"/>
        <color rgb="FF0563C1"/>
        <sz val="11.0"/>
      </rPr>
      <t xml:space="preserve">
</t>
    </r>
    <r>
      <rPr>
        <rFont val="Calibri"/>
        <color rgb="FF000000"/>
        <sz val="11.0"/>
      </rPr>
      <t>Yuba:</t>
    </r>
    <r>
      <rPr>
        <rFont val="Calibri"/>
        <color rgb="FF0563C1"/>
        <sz val="11.0"/>
      </rPr>
      <t xml:space="preserve"> </t>
    </r>
    <r>
      <rPr>
        <rFont val="Calibri"/>
        <color rgb="FF1155CC"/>
        <sz val="11.0"/>
        <u/>
      </rPr>
      <t>https://www.yuba.org/departments/elections/election_results.php</t>
    </r>
    <r>
      <rPr>
        <rFont val="Calibri"/>
        <color rgb="FF0563C1"/>
        <sz val="11.0"/>
      </rPr>
      <t xml:space="preserve">
</t>
    </r>
  </si>
  <si>
    <r>
      <rPr>
        <rFont val="Calibri"/>
        <b/>
        <color theme="1"/>
      </rPr>
      <t>*</t>
    </r>
    <r>
      <rPr>
        <rFont val="Calibri"/>
        <color theme="1"/>
      </rPr>
      <t xml:space="preserve"> This number reflects ALL the ballots remaining to be counted in each county NOT the number of ballots remaining to be counted in just this political district.</t>
    </r>
  </si>
  <si>
    <r>
      <rPr>
        <b/>
      </rPr>
      <t xml:space="preserve">The Associated Press called this race for Kevin Kiley on 11/22/22: </t>
    </r>
    <r>
      <rPr>
        <b/>
        <color rgb="FF1155CC"/>
        <u/>
      </rPr>
      <t>https://apnews.com/article/2022-midterm-elections-california-veterans-sacramento-gavin-newsom-868cf922b642790bb63217d370070d50</t>
    </r>
  </si>
  <si>
    <r>
      <rPr>
        <b/>
      </rPr>
      <t xml:space="preserve">Inyo County certified their results on 11/23/22: </t>
    </r>
    <r>
      <rPr>
        <b/>
        <color rgb="FF1155CC"/>
        <u/>
      </rPr>
      <t>https://drive.google.com/file/d/1k69f4DwCLxh9M06Q0PlYQ9Y3p3aDLYEs/view</t>
    </r>
  </si>
  <si>
    <r>
      <rPr>
        <b/>
      </rPr>
      <t xml:space="preserve">Mono County certified their results on 11/29/22: </t>
    </r>
    <r>
      <rPr>
        <b/>
        <color rgb="FF1155CC"/>
        <u/>
      </rPr>
      <t>https://www.monocounty.ca.gov/sites/default/files/fileattachments/elections/page/32644/mono_canvass_for_website.pdf</t>
    </r>
  </si>
  <si>
    <r>
      <rPr>
        <b/>
      </rPr>
      <t xml:space="preserve">Yuba County certified their results on 11/30/22: </t>
    </r>
    <r>
      <rPr>
        <b/>
        <color rgb="FF1155CC"/>
        <u/>
      </rPr>
      <t>https://files4.revize.com/yubaca/Yuba%20County/Elections/Current%20Election/Results/Nov22/Nov2022_Final_Results.pdf</t>
    </r>
  </si>
  <si>
    <r>
      <rPr>
        <b/>
      </rPr>
      <t xml:space="preserve">El Dorado County certified their results on 12/01/22: </t>
    </r>
    <r>
      <rPr>
        <b/>
        <color rgb="FF1155CC"/>
        <u/>
      </rPr>
      <t>https://www.edcgov.us/Government/Elections/Pages/elections_main_info.aspx</t>
    </r>
  </si>
  <si>
    <r>
      <rPr>
        <b/>
      </rPr>
      <t xml:space="preserve">Nevada County certified their results on 12/02/22: </t>
    </r>
    <r>
      <rPr>
        <b/>
        <color rgb="FF1155CC"/>
        <u/>
      </rPr>
      <t>https://www.nevadacountyca.gov/DocumentCenter/View/46317/Cumulative-Results---With-Judge-Names-12-2-2022-03-12-52-PM</t>
    </r>
  </si>
  <si>
    <r>
      <rPr>
        <b/>
      </rPr>
      <t xml:space="preserve">Placer County certified their results on 12/07/22: </t>
    </r>
    <r>
      <rPr>
        <b/>
        <color rgb="FF1155CC"/>
        <u/>
      </rPr>
      <t>https://www.placercountyelections.gov/election-night-results/</t>
    </r>
    <r>
      <rPr>
        <b/>
      </rPr>
      <t xml:space="preserve">	
</t>
    </r>
  </si>
  <si>
    <r>
      <rPr>
        <b/>
      </rPr>
      <t xml:space="preserve">Sacramento County ceritfied their results on 12/07/22: </t>
    </r>
    <r>
      <rPr>
        <b/>
        <color rgb="FF1155CC"/>
        <u/>
      </rPr>
      <t>https://elections.saccounty.gov/ElectionInformation/Documents/2022-November-General/Reports/12072022.pdf</t>
    </r>
  </si>
  <si>
    <r>
      <rPr>
        <b/>
      </rPr>
      <t xml:space="preserve">Sierra County certified their results on 12/07/22: </t>
    </r>
    <r>
      <rPr>
        <b/>
        <color rgb="FF1155CC"/>
        <u/>
      </rPr>
      <t>https://www.sierracounty.ca.gov/DocumentCenter/View/7679/Statement-of-Vote</t>
    </r>
  </si>
  <si>
    <t>CD 13</t>
  </si>
  <si>
    <t>18-Nov 
5:43 PM</t>
  </si>
  <si>
    <t>21-Nov
1:30 PM</t>
  </si>
  <si>
    <t>22-Nov
4:42 PM</t>
  </si>
  <si>
    <t>28-Nov
3:00 PM</t>
  </si>
  <si>
    <t>29-Nov
7:26 PM</t>
  </si>
  <si>
    <t>30-Nov
4:42 PM</t>
  </si>
  <si>
    <t>02-Dec
6:05 PM</t>
  </si>
  <si>
    <t>06-Dec
1:51 PM</t>
  </si>
  <si>
    <t xml:space="preserve">John Duarte (R) Votes </t>
  </si>
  <si>
    <t xml:space="preserve">Adam Gray (D) Votes </t>
  </si>
  <si>
    <t>Total Votes Cast</t>
  </si>
  <si>
    <t>Fresno</t>
  </si>
  <si>
    <t>Madera</t>
  </si>
  <si>
    <t>Merced</t>
  </si>
  <si>
    <t>San Joaquin</t>
  </si>
  <si>
    <t>Stanislaus</t>
  </si>
  <si>
    <r>
      <rPr>
        <rFont val="Calibri"/>
        <color rgb="FF000000"/>
        <sz val="11.0"/>
      </rPr>
      <t xml:space="preserve">Madera: </t>
    </r>
    <r>
      <rPr>
        <rFont val="Calibri"/>
        <color rgb="FF1155CC"/>
        <sz val="11.0"/>
        <u/>
      </rPr>
      <t>https://votemadera.com/consolidated-general-election-november-8-2022/</t>
    </r>
    <r>
      <rPr>
        <rFont val="Calibri"/>
        <color rgb="FF0563C1"/>
        <sz val="11.0"/>
      </rPr>
      <t xml:space="preserve">
</t>
    </r>
    <r>
      <rPr>
        <rFont val="Calibri"/>
        <color rgb="FF000000"/>
        <sz val="11.0"/>
      </rPr>
      <t xml:space="preserve">San Joaquin: </t>
    </r>
    <r>
      <rPr>
        <rFont val="Calibri"/>
        <color rgb="FF1155CC"/>
        <sz val="11.0"/>
        <u/>
      </rPr>
      <t>https://www.sjgov.org/department/rov/election-information/current_election</t>
    </r>
    <r>
      <rPr>
        <rFont val="Calibri"/>
        <color rgb="FF0563C1"/>
        <sz val="11.0"/>
      </rPr>
      <t xml:space="preserve">
</t>
    </r>
    <r>
      <rPr>
        <rFont val="Calibri"/>
        <color rgb="FF000000"/>
        <sz val="11.0"/>
      </rPr>
      <t>Fresno, Merced and Stanislaus</t>
    </r>
    <r>
      <rPr>
        <rFont val="Calibri"/>
        <color rgb="FF0563C1"/>
        <sz val="11.0"/>
      </rPr>
      <t xml:space="preserve">: </t>
    </r>
    <r>
      <rPr>
        <rFont val="Calibri"/>
        <color rgb="FF1155CC"/>
        <sz val="11.0"/>
        <u/>
      </rPr>
      <t>https://elections.cdn.sos.ca.gov/statewide-elections/2022-general/unprocessed-ballots-report.pdf</t>
    </r>
    <r>
      <rPr>
        <rFont val="Calibri"/>
        <color rgb="FF0563C1"/>
        <sz val="11.0"/>
      </rPr>
      <t xml:space="preserve">
</t>
    </r>
  </si>
  <si>
    <r>
      <rPr>
        <rFont val="Calibri"/>
        <b/>
        <color theme="1"/>
      </rPr>
      <t>*</t>
    </r>
    <r>
      <rPr>
        <rFont val="Calibri"/>
        <color theme="1"/>
      </rPr>
      <t xml:space="preserve"> This number reflects ALL the ballots remaining to be counted in each county NOT the number of ballots remaining to be counted in just this political district.</t>
    </r>
  </si>
  <si>
    <r>
      <rPr>
        <b/>
      </rPr>
      <t xml:space="preserve">The Associated Press called this race for John Duarte on 12/02/22: </t>
    </r>
    <r>
      <rPr>
        <b/>
        <color rgb="FF1155CC"/>
        <u/>
      </rPr>
      <t xml:space="preserve">https://apnews.com/article/2022-midterm-elections-california-race-and-ethnicity-congress-government-politics-a75c8a9b693ce9a39cce7be09eb124dc </t>
    </r>
  </si>
  <si>
    <r>
      <rPr>
        <b/>
      </rPr>
      <t xml:space="preserve">Merced County certified their results on 11/22/22: </t>
    </r>
    <r>
      <rPr>
        <b/>
        <color rgb="FF1155CC"/>
        <u/>
      </rPr>
      <t>https://results.enr.clarityelections.com/CA/Merced/116138/web.307039/#/summary</t>
    </r>
  </si>
  <si>
    <r>
      <rPr>
        <b/>
      </rPr>
      <t xml:space="preserve">Madera County certified their results on 11/23/22: </t>
    </r>
    <r>
      <rPr>
        <b/>
        <color rgb="FF1155CC"/>
        <u/>
      </rPr>
      <t>https://results.enr.clarityelections.com/CA/Madera/116174/web.307039/#/summary</t>
    </r>
  </si>
  <si>
    <r>
      <rPr>
        <b/>
      </rPr>
      <t xml:space="preserve">Stanislaus County certified their results on 11/23/22: </t>
    </r>
    <r>
      <rPr>
        <b/>
        <color rgb="FF1155CC"/>
        <u/>
      </rPr>
      <t>https://stanvote.com/pdf/past-results/11-08-2022-sov.pdf</t>
    </r>
  </si>
  <si>
    <r>
      <rPr>
        <b/>
      </rPr>
      <t xml:space="preserve">San Joaquin County certified their results on 12/01/22: </t>
    </r>
    <r>
      <rPr>
        <b/>
        <color rgb="FF1155CC"/>
        <u/>
      </rPr>
      <t>https://www.livevoterturnout.com/ENR/sanjoaquincaenr/14/en/Index_14.html</t>
    </r>
  </si>
  <si>
    <r>
      <rPr>
        <b/>
      </rPr>
      <t xml:space="preserve">Fresno Country certified their results on 12/08/22: </t>
    </r>
    <r>
      <rPr>
        <b/>
        <color rgb="FF1155CC"/>
        <u/>
      </rPr>
      <t>https://www.co.fresno.ca.us/departments/county-clerk-registrar-of-voters/election-information/election-results/results-for-november-8-2022-statewide-general-election</t>
    </r>
  </si>
  <si>
    <t>CD 22</t>
  </si>
  <si>
    <t>18-Nov
5:47 PM</t>
  </si>
  <si>
    <t>22-Nov
4:44 PM</t>
  </si>
  <si>
    <t>28-Nov
3:02 PM</t>
  </si>
  <si>
    <t>29-Nov
7:29 PM</t>
  </si>
  <si>
    <t>30-Nov
4:45 PM</t>
  </si>
  <si>
    <t>02-Dec
6:10 PM</t>
  </si>
  <si>
    <t>06-Dec
1:53 PM</t>
  </si>
  <si>
    <t xml:space="preserve">David G. Valadao (R) Votes </t>
  </si>
  <si>
    <t xml:space="preserve">Rudy Salas (D) Votes </t>
  </si>
  <si>
    <t>Kern</t>
  </si>
  <si>
    <t>Kings</t>
  </si>
  <si>
    <t>Tulare</t>
  </si>
  <si>
    <r>
      <rPr>
        <rFont val="Calibri"/>
        <color rgb="FF000000"/>
        <sz val="11.0"/>
      </rPr>
      <t xml:space="preserve">Kern and Tulare: </t>
    </r>
    <r>
      <rPr>
        <rFont val="Calibri"/>
        <color rgb="FF1155CC"/>
        <sz val="11.0"/>
        <u/>
      </rPr>
      <t xml:space="preserve">https://elections.cdn.sos.ca.gov/statewide-elections/2022-general/unprocessed-ballots-report.pdf </t>
    </r>
    <r>
      <rPr>
        <rFont val="Calibri"/>
        <color rgb="FF000000"/>
        <sz val="11.0"/>
      </rPr>
      <t xml:space="preserve">
Kings: </t>
    </r>
    <r>
      <rPr>
        <rFont val="Calibri"/>
        <color rgb="FF1155CC"/>
        <sz val="11.0"/>
        <u/>
      </rPr>
      <t>https://www.countyofkings.com/departments/administration/elections/election-information/election-results</t>
    </r>
    <r>
      <rPr>
        <rFont val="Calibri"/>
        <color rgb="FF000000"/>
        <sz val="11.0"/>
      </rPr>
      <t xml:space="preserve">
</t>
    </r>
  </si>
  <si>
    <r>
      <rPr>
        <rFont val="Calibri"/>
        <b/>
        <color theme="1"/>
      </rPr>
      <t>*</t>
    </r>
    <r>
      <rPr>
        <rFont val="Calibri"/>
        <color theme="1"/>
      </rPr>
      <t xml:space="preserve"> This number reflects ALL the ballots remaining to be counted in each county NOT the number of ballots remaining to be counted in just this political district.</t>
    </r>
  </si>
  <si>
    <r>
      <rPr>
        <b/>
      </rPr>
      <t xml:space="preserve">The Associated Press called this race for David G. Valadao on 11/21/22: </t>
    </r>
    <r>
      <rPr>
        <b/>
        <color rgb="FF1155CC"/>
        <u/>
      </rPr>
      <t>https://apnews.com/article/california-donald-trump-voter-registration-david-valadao-dan-newhouse-216d0f43fe68a22222f175d2a8a94daa</t>
    </r>
  </si>
  <si>
    <r>
      <rPr>
        <b/>
      </rPr>
      <t>Kings County certified their results on 11/29/22:</t>
    </r>
    <r>
      <rPr>
        <b/>
        <color rgb="FF1155CC"/>
        <u/>
      </rPr>
      <t xml:space="preserve"> https://www.countyofkings.com/home/showpublisheddocument/30296        </t>
    </r>
  </si>
  <si>
    <r>
      <rPr>
        <b/>
      </rPr>
      <t xml:space="preserve">Tulare County certified their results on 11/30/22: </t>
    </r>
    <r>
      <rPr>
        <b/>
        <color rgb="FF1155CC"/>
        <u/>
      </rPr>
      <t xml:space="preserve">https://tularecoelections.org/elections/registrar-of-voters/current-election-information/november-8-2022-general-election-elecciones-generales-del-8-de-noviembre-de-2022/statement-of-vote/                </t>
    </r>
  </si>
  <si>
    <r>
      <rPr>
        <b/>
      </rPr>
      <t xml:space="preserve">Kern County certified their results on 12/07/22: </t>
    </r>
    <r>
      <rPr>
        <b/>
        <color rgb="FF1155CC"/>
        <u/>
      </rPr>
      <t>https://kernvote.com/ElectionInformation/Results/?ID=117</t>
    </r>
  </si>
  <si>
    <t>CD 27</t>
  </si>
  <si>
    <t>18-Nov
5:49 PM</t>
  </si>
  <si>
    <t>21-Nov
1:32 PM</t>
  </si>
  <si>
    <t>22-Nov
4:46 PM</t>
  </si>
  <si>
    <t>28-Nov
3:03 PM</t>
  </si>
  <si>
    <t>29-Nov
7:31 PM</t>
  </si>
  <si>
    <t>02-Dec
6:11 PM</t>
  </si>
  <si>
    <t>06-Dec
1:55 PM</t>
  </si>
  <si>
    <t xml:space="preserve">Mike Garcia (R) Votes </t>
  </si>
  <si>
    <t xml:space="preserve">Christy Smith (D) Votes </t>
  </si>
  <si>
    <t>Total of Unprocessed Ballots*</t>
  </si>
  <si>
    <t>Los Angeles</t>
  </si>
  <si>
    <t>Source for unprocessed ballot numbers</t>
  </si>
  <si>
    <t>https://elections.cdn.sos.ca.gov/statewide-elections/2022-general/unprocessed-ballots-report.pdf</t>
  </si>
  <si>
    <r>
      <rPr>
        <rFont val="Calibri"/>
        <b/>
        <color theme="1"/>
      </rPr>
      <t>*</t>
    </r>
    <r>
      <rPr>
        <rFont val="Calibri"/>
        <color theme="1"/>
      </rPr>
      <t xml:space="preserve"> This number reflects ALL the ballots remaining to be counted in each county NOT the number of ballots remaining to be counted in just this political district.</t>
    </r>
  </si>
  <si>
    <r>
      <rPr>
        <b/>
      </rPr>
      <t xml:space="preserve">The Associated Press called this race for Mike Garcia on 11/16/22: </t>
    </r>
    <r>
      <rPr>
        <b/>
        <color rgb="FF1155CC"/>
        <u/>
      </rPr>
      <t>https://apnews.com/article/2022-midterm-elections-gop-california-house-win-6f63ce40257c35c25e798a6dc6988af3</t>
    </r>
  </si>
  <si>
    <r>
      <rPr>
        <b/>
      </rPr>
      <t xml:space="preserve">Los Angeles County Certified their results on 12/05/22: </t>
    </r>
    <r>
      <rPr>
        <b/>
        <color rgb="FF1155CC"/>
        <u/>
      </rPr>
      <t>https://www.lavote.gov/docs/rrcc/news-releases/11082022_certified-results.pdf</t>
    </r>
  </si>
  <si>
    <t>CD 34</t>
  </si>
  <si>
    <t>18-Nov
5:52 PM</t>
  </si>
  <si>
    <t>21-Nov
1:34 PM</t>
  </si>
  <si>
    <t>22-Nov
4:48 PM</t>
  </si>
  <si>
    <t>28-Nov
3:04 PM</t>
  </si>
  <si>
    <t>29-Nov
7:32 PM</t>
  </si>
  <si>
    <t>30-Nov
4:47 PM</t>
  </si>
  <si>
    <t>02-Dec
6:13 PM</t>
  </si>
  <si>
    <t>06-Dec
1:56 PM</t>
  </si>
  <si>
    <t xml:space="preserve">Jimmy Gomez (D) Votes </t>
  </si>
  <si>
    <t xml:space="preserve">David Kim (D) Votes </t>
  </si>
  <si>
    <r>
      <rPr>
        <rFont val="Calibri"/>
        <b/>
        <color theme="1"/>
      </rPr>
      <t>*</t>
    </r>
    <r>
      <rPr>
        <rFont val="Calibri"/>
        <color theme="1"/>
      </rPr>
      <t xml:space="preserve"> This number reflects ALL the ballots remaining to be counted in each county NOT the number of ballots remaining to be counted in just this political district.</t>
    </r>
  </si>
  <si>
    <r>
      <rPr>
        <b/>
      </rPr>
      <t xml:space="preserve">The Associated Press called this race for Jimmy Gomez on 11/19/22: </t>
    </r>
    <r>
      <rPr>
        <b/>
        <color rgb="FF1155CC"/>
        <u/>
      </rPr>
      <t>https://apnews.com/article/2022-midterm-elections-california-los-angeles-government-and-politics-faa076855197ae17f0fa26a635acb367</t>
    </r>
  </si>
  <si>
    <r>
      <rPr>
        <b/>
      </rPr>
      <t xml:space="preserve">Los Angeles County Certified their results on 12/05/22: </t>
    </r>
    <r>
      <rPr>
        <b/>
        <color rgb="FF1155CC"/>
        <u/>
      </rPr>
      <t>https://www.lavote.gov/docs/rrcc/news-releases/11082022_certified-results.pdf</t>
    </r>
  </si>
  <si>
    <t>CD 41</t>
  </si>
  <si>
    <t>18-Nov
5:54 PM</t>
  </si>
  <si>
    <t>21-Nov
1:35 PM</t>
  </si>
  <si>
    <t>22-Nov
4:49 PM</t>
  </si>
  <si>
    <t>28-Nov
3:05 PM</t>
  </si>
  <si>
    <t>29-Nov
7:34 PM</t>
  </si>
  <si>
    <t>30-Nov
4:48 PM</t>
  </si>
  <si>
    <t xml:space="preserve">Ken Calvert (R) Votes </t>
  </si>
  <si>
    <t xml:space="preserve"> Will Rollins (D) Votes </t>
  </si>
  <si>
    <t>Riverside</t>
  </si>
  <si>
    <t>https://voteinfo.net/</t>
  </si>
  <si>
    <r>
      <rPr>
        <rFont val="Calibri"/>
        <b/>
        <color theme="1"/>
      </rPr>
      <t>*</t>
    </r>
    <r>
      <rPr>
        <rFont val="Calibri"/>
        <color theme="1"/>
      </rPr>
      <t xml:space="preserve"> This number reflects ALL the ballots remaining to be counted in each county NOT the number of ballots remaining to be counted in just this political district.</t>
    </r>
  </si>
  <si>
    <r>
      <rPr>
        <rFont val="Calibri"/>
        <b/>
        <color rgb="FF000000"/>
      </rPr>
      <t xml:space="preserve">The Associated Press called this race for Ken Calvert on 11/14/22: </t>
    </r>
    <r>
      <rPr>
        <rFont val="Calibri"/>
        <b/>
        <color rgb="FF1155CC"/>
        <u/>
      </rPr>
      <t>https://apnews.com/article/2022-midterm-elections-california-house-elections-gop-382318869531533a47bfada98a9a7efa</t>
    </r>
  </si>
  <si>
    <r>
      <rPr>
        <b/>
      </rPr>
      <t xml:space="preserve">Riverside County certified their results on 12/01/22: </t>
    </r>
    <r>
      <rPr>
        <b/>
        <color rgb="FF1155CC"/>
        <u/>
      </rPr>
      <t>https://voteinfo.net/Elections/20221108/docs/ElectionSummaryReportRPT_mhtml.htm</t>
    </r>
  </si>
  <si>
    <t>CD 45</t>
  </si>
  <si>
    <t>18-Nov
6:00 PM</t>
  </si>
  <si>
    <t>21-Nov
1:36 PM</t>
  </si>
  <si>
    <t>22-Nov
4:50 PM</t>
  </si>
  <si>
    <t>29-Nov
7:47 PM</t>
  </si>
  <si>
    <t>30-Nov
4:49 PM</t>
  </si>
  <si>
    <t>02-Dec
6:21 PM</t>
  </si>
  <si>
    <t xml:space="preserve">Michelle Steel (R) Votes </t>
  </si>
  <si>
    <t xml:space="preserve"> Jay F. Chen (D) Votes </t>
  </si>
  <si>
    <t>Orange</t>
  </si>
  <si>
    <t>4,690</t>
  </si>
  <si>
    <r>
      <rPr>
        <rFont val="Calibri"/>
        <color theme="1"/>
        <sz val="11.0"/>
      </rPr>
      <t>Los Angeles:</t>
    </r>
    <r>
      <rPr>
        <rFont val="Calibri"/>
        <color rgb="FF0563C1"/>
        <sz val="11.0"/>
      </rPr>
      <t xml:space="preserve"> </t>
    </r>
    <r>
      <rPr>
        <rFont val="Calibri"/>
        <color rgb="FF1155CC"/>
        <sz val="11.0"/>
        <u/>
      </rPr>
      <t xml:space="preserve">https://elections.cdn.sos.ca.gov/statewide-elections/2022-general/unprocessed-ballots-report.pdf
</t>
    </r>
    <r>
      <rPr>
        <rFont val="Calibri"/>
        <color theme="1"/>
        <sz val="11.0"/>
      </rPr>
      <t>Orange:</t>
    </r>
    <r>
      <rPr>
        <rFont val="Calibri"/>
        <color rgb="FF0563C1"/>
        <sz val="11.0"/>
      </rPr>
      <t xml:space="preserve"> </t>
    </r>
    <r>
      <rPr>
        <rFont val="Calibri"/>
        <color rgb="FF1155CC"/>
        <sz val="11.0"/>
        <u/>
      </rPr>
      <t>https://ocvote.gov/results/whats-left-to-count/total-ballots-left-to-count</t>
    </r>
  </si>
  <si>
    <r>
      <rPr>
        <rFont val="Calibri"/>
        <b/>
        <color theme="1"/>
      </rPr>
      <t>*</t>
    </r>
    <r>
      <rPr>
        <rFont val="Calibri"/>
        <color theme="1"/>
      </rPr>
      <t xml:space="preserve"> This number reflects ALL the ballots remaining to be counted in each county NOT the number of ballots remaining to be counted in just this political district.</t>
    </r>
  </si>
  <si>
    <r>
      <rPr>
        <b/>
      </rPr>
      <t xml:space="preserve">The Associated Press called this race for Michelle Steel on 11/14/22: </t>
    </r>
    <r>
      <rPr>
        <b/>
        <color rgb="FF1155CC"/>
        <u/>
      </rPr>
      <t>https://apnews.com/article/2022-midterm-elections-california-house-elections-gop-382318869531533a47bfada98a9a7efa</t>
    </r>
  </si>
  <si>
    <r>
      <rPr>
        <b/>
      </rPr>
      <t xml:space="preserve">Orange County certified their results on 12/02/22: </t>
    </r>
    <r>
      <rPr>
        <b/>
        <color rgb="FF1155CC"/>
        <u/>
      </rPr>
      <t>https://ocvote.gov/results/current-election-results</t>
    </r>
  </si>
  <si>
    <r>
      <rPr>
        <b/>
      </rPr>
      <t xml:space="preserve">Los Angeles County Certified their results on 12/05/22: </t>
    </r>
    <r>
      <rPr>
        <b/>
        <color rgb="FF1155CC"/>
        <u/>
      </rPr>
      <t>https://www.lavote.gov/docs/rrcc/news-releases/11082022_certified-results.pdf</t>
    </r>
  </si>
  <si>
    <t>CD 47</t>
  </si>
  <si>
    <t>18-Nov
6:02 PM</t>
  </si>
  <si>
    <t>21-Nov
1:37 PM</t>
  </si>
  <si>
    <t>22-Nov
4:51 PM</t>
  </si>
  <si>
    <t>28-Nov
3:06 PM</t>
  </si>
  <si>
    <t>29-Nov
7:50 PM</t>
  </si>
  <si>
    <t>30-Nov
4:50 PM</t>
  </si>
  <si>
    <t>02-Dec
6:22 PM</t>
  </si>
  <si>
    <t xml:space="preserve">Katie Porter (D) Votes </t>
  </si>
  <si>
    <t xml:space="preserve">Scott Baugh (R) Votes </t>
  </si>
  <si>
    <t>https://ocvote.gov/results/whats-left-to-count/total-ballots-left-to-count</t>
  </si>
  <si>
    <r>
      <rPr>
        <rFont val="Calibri"/>
        <b/>
        <color theme="1"/>
      </rPr>
      <t>*</t>
    </r>
    <r>
      <rPr>
        <rFont val="Calibri"/>
        <color theme="1"/>
      </rPr>
      <t xml:space="preserve"> This number reflects ALL the ballots remaining to be counted in each county NOT the number of ballots remaining to be counted in just this political district.</t>
    </r>
  </si>
  <si>
    <r>
      <rPr>
        <rFont val="Calibri"/>
        <b/>
        <color theme="1"/>
        <sz val="11.0"/>
      </rPr>
      <t xml:space="preserve">The Associated Press called this race for Katie Porter on 11/17/22: </t>
    </r>
    <r>
      <rPr>
        <rFont val="Calibri"/>
        <b/>
        <color rgb="FF1155CC"/>
        <sz val="11.0"/>
        <u/>
      </rPr>
      <t>https://apnews.com/article/2022-midterm-elections-california-cd03ac6217b63f76c5a954961bf0fbf2</t>
    </r>
  </si>
  <si>
    <r>
      <rPr>
        <b/>
      </rPr>
      <t xml:space="preserve">Orange County certified their results on 12/02/22: </t>
    </r>
    <r>
      <rPr>
        <b/>
        <color rgb="FF1155CC"/>
        <u/>
      </rPr>
      <t>https://ocvote.gov/results/current-election-results</t>
    </r>
  </si>
  <si>
    <t>CD 49</t>
  </si>
  <si>
    <t>18-Nov
6:04 PM</t>
  </si>
  <si>
    <t>21-Nov
1:38 PM</t>
  </si>
  <si>
    <t>22-Nov
4:52 PM</t>
  </si>
  <si>
    <t>28-Nov
3:07 PM</t>
  </si>
  <si>
    <t>29-Nov
7:54 PM</t>
  </si>
  <si>
    <t>30-Nov
4:52 PM</t>
  </si>
  <si>
    <t>02-Dec
6:23 PM</t>
  </si>
  <si>
    <t>06-Dec
1:59 PM</t>
  </si>
  <si>
    <t xml:space="preserve">Mike Levin (D) Votes </t>
  </si>
  <si>
    <t xml:space="preserve">Brian Maryott (R) Votes </t>
  </si>
  <si>
    <t>San Diego</t>
  </si>
  <si>
    <t>7,000</t>
  </si>
  <si>
    <r>
      <rPr>
        <rFont val="Calibri"/>
        <color rgb="FF000000"/>
        <sz val="11.0"/>
      </rPr>
      <t xml:space="preserve">San Diego: </t>
    </r>
    <r>
      <rPr>
        <rFont val="Calibri"/>
        <color rgb="FF1155CC"/>
        <sz val="11.0"/>
        <u/>
      </rPr>
      <t>https://www.livevoterturnout.com/ENR/sandiegocaenr/16/en/Index_16.html</t>
    </r>
    <r>
      <rPr>
        <rFont val="Calibri"/>
        <color rgb="FF000000"/>
        <sz val="11.0"/>
      </rPr>
      <t xml:space="preserve">
Orange: </t>
    </r>
    <r>
      <rPr>
        <rFont val="Calibri"/>
        <color rgb="FF1155CC"/>
        <sz val="11.0"/>
        <u/>
      </rPr>
      <t>https://ocvote.gov/results/whats-left-to-count/total-ballots-left-to-count</t>
    </r>
    <r>
      <rPr>
        <rFont val="Calibri"/>
        <color rgb="FF000000"/>
        <sz val="11.0"/>
      </rPr>
      <t xml:space="preserve">
</t>
    </r>
  </si>
  <si>
    <r>
      <rPr>
        <rFont val="Calibri"/>
        <b/>
        <color theme="1"/>
      </rPr>
      <t>*</t>
    </r>
    <r>
      <rPr>
        <rFont val="Calibri"/>
        <color theme="1"/>
      </rPr>
      <t xml:space="preserve"> This number reflects ALL the ballots remaining to be counted in each county NOT the number of ballots remaining to be counted in just this political district.</t>
    </r>
  </si>
  <si>
    <r>
      <rPr>
        <b/>
      </rPr>
      <t xml:space="preserve">The Associated Press called this race for Mike Levin on 11/16/22: </t>
    </r>
    <r>
      <rPr>
        <b/>
        <color rgb="FF1155CC"/>
        <u/>
      </rPr>
      <t>https://apnews.com/article/california-congress-government-and-politics-11dca51226784861b30397d7fa199053</t>
    </r>
  </si>
  <si>
    <r>
      <rPr>
        <b/>
      </rPr>
      <t xml:space="preserve">Orange County certified their results on 12/02/22: </t>
    </r>
    <r>
      <rPr>
        <b/>
        <color rgb="FF1155CC"/>
        <u/>
      </rPr>
      <t>https://ocvote.gov/results/current-election-results</t>
    </r>
  </si>
  <si>
    <r>
      <rPr>
        <b/>
      </rPr>
      <t xml:space="preserve">San Diego County certified their results on 12/08/22: </t>
    </r>
    <r>
      <rPr>
        <b/>
        <color rgb="FF1155CC"/>
        <u/>
      </rPr>
      <t>https://www.livevoterturnout.com/ENR/sandiegocaenr/16/en/Index_16.html</t>
    </r>
  </si>
  <si>
    <t>SD-08</t>
  </si>
  <si>
    <t>18-Nov
6:08 PM</t>
  </si>
  <si>
    <t>21-Nov
1:39 PM</t>
  </si>
  <si>
    <t>22-Nov
4:53 PM</t>
  </si>
  <si>
    <t>28-Nov
3:08 PM</t>
  </si>
  <si>
    <t>29-Nov
7:56 PM</t>
  </si>
  <si>
    <t>30-Nov
4:53 PM</t>
  </si>
  <si>
    <t>02-Dec
6:24 PM</t>
  </si>
  <si>
    <t>06-Dec
2:00 PM</t>
  </si>
  <si>
    <t xml:space="preserve">Angelique Ashby (D) Votes </t>
  </si>
  <si>
    <t xml:space="preserve">Dave Jones (D) Votes </t>
  </si>
  <si>
    <t>https://results.saccounty.gov/Default.aspx</t>
  </si>
  <si>
    <r>
      <rPr>
        <rFont val="Calibri"/>
        <b/>
        <color theme="1"/>
      </rPr>
      <t>*</t>
    </r>
    <r>
      <rPr>
        <rFont val="Calibri"/>
        <color theme="1"/>
      </rPr>
      <t xml:space="preserve"> This number reflects ALL the ballots remaining to be counted in each county NOT the number of ballots remaining to be counted in just this political district.</t>
    </r>
  </si>
  <si>
    <r>
      <rPr>
        <rFont val="Calibri"/>
        <b/>
        <sz val="11.0"/>
      </rPr>
      <t xml:space="preserve">Dave Jones conceded on 11/29/22: </t>
    </r>
    <r>
      <rPr>
        <rFont val="Calibri"/>
        <b/>
        <color rgb="FF1155CC"/>
        <sz val="11.0"/>
        <u/>
      </rPr>
      <t>https://www.cbsnews.com/sacramento/news/dave-jones-concedes-to-angelique-ashby-for-state-sen-district-8-seat/</t>
    </r>
  </si>
  <si>
    <r>
      <rPr>
        <b/>
      </rPr>
      <t xml:space="preserve">Sacramento County ceritfied their results on 12/07/22: </t>
    </r>
    <r>
      <rPr>
        <b/>
        <color rgb="FF1155CC"/>
        <u/>
      </rPr>
      <t>https://elections.saccounty.gov/ElectionInformation/Documents/2022-November-General/Reports/12072022.pdf</t>
    </r>
  </si>
  <si>
    <t>SD-16</t>
  </si>
  <si>
    <t xml:space="preserve">28-Nov
</t>
  </si>
  <si>
    <t>28-Nov
3:09 PM</t>
  </si>
  <si>
    <t>29-Nov
8:00 PM</t>
  </si>
  <si>
    <t>30-Nov
4:54 PM</t>
  </si>
  <si>
    <t>02-Dec
6:30 PM</t>
  </si>
  <si>
    <t>06-Dec
2:02 PM</t>
  </si>
  <si>
    <t xml:space="preserve">Melissa Hurtado (D) Votes </t>
  </si>
  <si>
    <t xml:space="preserve">	David Shepard (R) Votes </t>
  </si>
  <si>
    <r>
      <rPr>
        <rFont val="Calibri"/>
        <sz val="11.0"/>
      </rPr>
      <t xml:space="preserve">Fresno, Kern and Tulare: </t>
    </r>
    <r>
      <rPr>
        <rFont val="Calibri"/>
        <color rgb="FF1155CC"/>
        <sz val="11.0"/>
        <u/>
      </rPr>
      <t xml:space="preserve">https://elections.cdn.sos.ca.gov/statewide-elections/2022-general/unprocessed-ballots-report.pdf </t>
    </r>
    <r>
      <rPr>
        <rFont val="Calibri"/>
        <sz val="11.0"/>
      </rPr>
      <t xml:space="preserve">
Kings: </t>
    </r>
    <r>
      <rPr>
        <rFont val="Calibri"/>
        <color rgb="FF1155CC"/>
        <sz val="11.0"/>
        <u/>
      </rPr>
      <t>https://www.countyofkings.com/departments/administration/elections/election-information/election-results</t>
    </r>
  </si>
  <si>
    <r>
      <rPr>
        <rFont val="Calibri"/>
        <b/>
        <color theme="1"/>
      </rPr>
      <t>*</t>
    </r>
    <r>
      <rPr>
        <rFont val="Calibri"/>
        <color theme="1"/>
      </rPr>
      <t xml:space="preserve"> This number reflects ALL the ballots remaining to be counted in each county NOT the number of ballots remaining to be counted in just this political district.</t>
    </r>
  </si>
  <si>
    <r>
      <rPr>
        <b/>
      </rPr>
      <t xml:space="preserve">Kings County certified their election results on 11/29/22: </t>
    </r>
    <r>
      <rPr>
        <b/>
        <color rgb="FF1155CC"/>
        <u/>
      </rPr>
      <t>https://www.countyofkings.com/home/showpublisheddocument/30296</t>
    </r>
  </si>
  <si>
    <r>
      <rPr>
        <b/>
      </rPr>
      <t xml:space="preserve">Tulare County certified their election results on 11/30/22: </t>
    </r>
    <r>
      <rPr>
        <b/>
        <color rgb="FF1155CC"/>
        <u/>
      </rPr>
      <t>https://tularecoelections.org/elections/registrar-of-voters/current-election-information/november-8-2022-general-election-elecciones-generales-del-8-de-noviembre-de-2022/statement-of-vote/</t>
    </r>
  </si>
  <si>
    <r>
      <rPr>
        <b/>
      </rPr>
      <t xml:space="preserve">Kern County certified their results on 12/07/22: </t>
    </r>
    <r>
      <rPr>
        <b/>
        <color rgb="FF1155CC"/>
        <u/>
      </rPr>
      <t>https://kernvote.com/ElectionInformation/Results/?ID=117</t>
    </r>
  </si>
  <si>
    <r>
      <rPr>
        <b/>
      </rPr>
      <t xml:space="preserve">Fresno Country certified their results on 12/08/22: </t>
    </r>
    <r>
      <rPr>
        <b/>
        <color rgb="FF1155CC"/>
        <u/>
      </rPr>
      <t>https://www.co.fresno.ca.us/departments/county-clerk-registrar-of-voters/election-information/election-results/results-for-november-8-2022-statewide-general-election</t>
    </r>
  </si>
  <si>
    <r>
      <rPr>
        <b/>
      </rPr>
      <t xml:space="preserve">There will be a recount beginning on 12/21/22: </t>
    </r>
    <r>
      <rPr>
        <b/>
        <color rgb="FF1155CC"/>
        <u/>
      </rPr>
      <t xml:space="preserve">https://www.bakersfield.com/news/kern-registrar-of-voters-announces-16th-district-senate-recount-to-start-wednesday/article_210cb1e0-8012-11ed-9fb2-8f1d314480a5.html </t>
    </r>
  </si>
  <si>
    <t>AD 07</t>
  </si>
  <si>
    <t>18-Nov
6:13 PM</t>
  </si>
  <si>
    <t>21-Nov
1:41 PM</t>
  </si>
  <si>
    <t>22-Nov
4:54 PM</t>
  </si>
  <si>
    <t>28-Nov
3:10 PM</t>
  </si>
  <si>
    <t>29-Nov
8:02 PM</t>
  </si>
  <si>
    <t>30-Nov
4:55 PM</t>
  </si>
  <si>
    <t>02-Dec
6:43 PM</t>
  </si>
  <si>
    <t xml:space="preserve">Josh Hoover (R) Votes </t>
  </si>
  <si>
    <t xml:space="preserve">Ken Cooley (D) Votes </t>
  </si>
  <si>
    <r>
      <rPr>
        <rFont val="Calibri"/>
        <b/>
        <color theme="1"/>
      </rPr>
      <t>*</t>
    </r>
    <r>
      <rPr>
        <rFont val="Calibri"/>
        <color theme="1"/>
      </rPr>
      <t xml:space="preserve"> This number reflects ALL the ballots remaining to be counted in each county NOT the number of ballots remaining to be counted in just this political district.</t>
    </r>
  </si>
  <si>
    <r>
      <rPr>
        <b/>
      </rPr>
      <t xml:space="preserve">Sacramento County ceritfied their results on 12/07/22: </t>
    </r>
    <r>
      <rPr>
        <b/>
        <color rgb="FF1155CC"/>
        <u/>
      </rPr>
      <t>https://elections.saccounty.gov/ElectionInformation/Documents/2022-November-General/Reports/12072022.pdf</t>
    </r>
  </si>
  <si>
    <t>AD 40</t>
  </si>
  <si>
    <t>18-Nov
6:16 PM</t>
  </si>
  <si>
    <t>22-Nov
4:55 PM</t>
  </si>
  <si>
    <t>28-Nov
3:11 PM</t>
  </si>
  <si>
    <t>29-Nov
8:04 PM</t>
  </si>
  <si>
    <t>30-Nov
4:56 PM</t>
  </si>
  <si>
    <t>02-Dec
6:44 PM</t>
  </si>
  <si>
    <t xml:space="preserve">Pilar Schiavo (D) Votes </t>
  </si>
  <si>
    <t xml:space="preserve">Suzette Martinez Valladares (R) Votes </t>
  </si>
  <si>
    <t xml:space="preserve">https://elections.cdn.sos.ca.gov/statewide-elections/2022-general/unprocessed-ballots-report.pdf                                                                                                                       </t>
  </si>
  <si>
    <r>
      <rPr>
        <rFont val="Calibri"/>
        <b/>
        <color theme="1"/>
      </rPr>
      <t>*</t>
    </r>
    <r>
      <rPr>
        <rFont val="Calibri"/>
        <color theme="1"/>
      </rPr>
      <t xml:space="preserve"> This number reflects ALL the ballots remaining to be counted in each county NOT the number of ballots remaining to be counted in just this political district.</t>
    </r>
  </si>
  <si>
    <r>
      <rPr>
        <b/>
      </rPr>
      <t xml:space="preserve">Los Angeles County Certified their results on 12/05/22: </t>
    </r>
    <r>
      <rPr>
        <b/>
        <color rgb="FF1155CC"/>
        <u/>
      </rPr>
      <t>https://www.lavote.gov/docs/rrcc/news-releases/11082022_certified-results.pdf</t>
    </r>
  </si>
  <si>
    <t>AD 47</t>
  </si>
  <si>
    <t>18-Nov
6:18 PM</t>
  </si>
  <si>
    <t>21-Nov
1:42 PM</t>
  </si>
  <si>
    <t>22-Nov 
4:58 PM</t>
  </si>
  <si>
    <t>28-Nov
3:12 PM</t>
  </si>
  <si>
    <t>29-Nov
8:10 PM</t>
  </si>
  <si>
    <t>30-Nov
4:59 PM</t>
  </si>
  <si>
    <t>02-Dec
6:46 PM</t>
  </si>
  <si>
    <t>06-Dec
2:03 PM</t>
  </si>
  <si>
    <t xml:space="preserve">Greg Wallis (R) Votes </t>
  </si>
  <si>
    <t xml:space="preserve">Christy Holstege (D) Votes </t>
  </si>
  <si>
    <t>San Bernardino</t>
  </si>
  <si>
    <r>
      <rPr>
        <rFont val="Calibri"/>
        <sz val="11.0"/>
      </rPr>
      <t xml:space="preserve">Riverside: </t>
    </r>
    <r>
      <rPr>
        <rFont val="Calibri"/>
        <color rgb="FF1155CC"/>
        <sz val="11.0"/>
        <u/>
      </rPr>
      <t xml:space="preserve">https://voteinfo.net/
</t>
    </r>
    <r>
      <rPr>
        <rFont val="Calibri"/>
        <sz val="11.0"/>
      </rPr>
      <t xml:space="preserve">San Bernardino: </t>
    </r>
    <r>
      <rPr>
        <rFont val="Calibri"/>
        <color rgb="FF1155CC"/>
        <sz val="11.0"/>
        <u/>
      </rPr>
      <t>https://sbcountyelections.com/elections/2022/1108/resultschedule/</t>
    </r>
  </si>
  <si>
    <r>
      <rPr>
        <rFont val="Calibri"/>
        <b/>
        <color theme="1"/>
      </rPr>
      <t>*</t>
    </r>
    <r>
      <rPr>
        <rFont val="Calibri"/>
        <color theme="1"/>
      </rPr>
      <t xml:space="preserve"> This number reflects ALL the ballots remaining to be counted in each county NOT the number of ballots remaining to be counted in just this political district.</t>
    </r>
  </si>
  <si>
    <r>
      <rPr>
        <b/>
      </rPr>
      <t xml:space="preserve">Riverside County certified their results on 12/01/22: </t>
    </r>
    <r>
      <rPr>
        <b/>
        <color rgb="FF1155CC"/>
        <u/>
      </rPr>
      <t>https://voteinfo.net/Elections/20221108/docs/ElectionSummaryReportRPT_mhtml.htm</t>
    </r>
  </si>
  <si>
    <t>LA Mayor</t>
  </si>
  <si>
    <t>18-Nov
6:22 PM</t>
  </si>
  <si>
    <t>21-Nov
1:43 PM</t>
  </si>
  <si>
    <t>22-Nov
5:00 PM</t>
  </si>
  <si>
    <t>28-Nov
3:14 PM</t>
  </si>
  <si>
    <t>29-Nov
8:12 PM</t>
  </si>
  <si>
    <t>30-Nov
5:00 PM</t>
  </si>
  <si>
    <t>02-Dec
6:48 PM</t>
  </si>
  <si>
    <t xml:space="preserve">Karen Bass (D) Votes </t>
  </si>
  <si>
    <t xml:space="preserve">Rick Caruso (R) Votes </t>
  </si>
  <si>
    <r>
      <rPr>
        <rFont val="Calibri"/>
        <color rgb="FF000000"/>
        <sz val="11.0"/>
      </rPr>
      <t xml:space="preserve">Election Results: </t>
    </r>
    <r>
      <rPr>
        <rFont val="Calibri"/>
        <color rgb="FF1155CC"/>
        <sz val="11.0"/>
        <u/>
      </rPr>
      <t xml:space="preserve">https://results.lavote.gov/#year=2022&amp;election=4300
</t>
    </r>
    <r>
      <rPr>
        <rFont val="Calibri"/>
        <color rgb="FF000000"/>
        <sz val="11.0"/>
      </rPr>
      <t xml:space="preserve">Unprocessed Ballot Numbers: </t>
    </r>
    <r>
      <rPr>
        <rFont val="Calibri"/>
        <color rgb="FF1155CC"/>
        <sz val="11.0"/>
        <u/>
      </rPr>
      <t>https://elections.cdn.sos.ca.gov/statewide-elections/2022-general/unprocessed-ballots-report.pdf</t>
    </r>
    <r>
      <rPr>
        <rFont val="Calibri"/>
        <color rgb="FF000000"/>
        <sz val="11.0"/>
      </rPr>
      <t xml:space="preserve">
</t>
    </r>
  </si>
  <si>
    <r>
      <rPr>
        <rFont val="Calibri"/>
        <b/>
        <color theme="1"/>
      </rPr>
      <t>*</t>
    </r>
    <r>
      <rPr>
        <rFont val="Calibri"/>
        <color theme="1"/>
      </rPr>
      <t xml:space="preserve"> This number reflects ALL the ballots remaining to be counted in each county NOT the number of ballots remaining to be counted in just this political district.</t>
    </r>
  </si>
  <si>
    <r>
      <rPr>
        <b/>
      </rPr>
      <t xml:space="preserve">The Associated Press called this race for Karen Bass on 11/16/22: </t>
    </r>
    <r>
      <rPr>
        <b/>
        <color rgb="FF1155CC"/>
        <u/>
      </rPr>
      <t>https://apnews.com/article/los-angeles-mayor-karen-bass-02f20ef45e3cbbfc94e2eb073e1e860d</t>
    </r>
  </si>
  <si>
    <r>
      <rPr>
        <b/>
      </rPr>
      <t xml:space="preserve">Los Angeles County Certified their results on 12/05/22: </t>
    </r>
    <r>
      <rPr>
        <b/>
        <color rgb="FF1155CC"/>
        <u/>
      </rPr>
      <t>https://www.lavote.gov/docs/rrcc/news-releases/11082022_certified-results.pdf</t>
    </r>
  </si>
  <si>
    <r>
      <rPr>
        <b/>
      </rPr>
      <t xml:space="preserve">The California Voter Foundation is tracking several close California races in the November 2022 election to give the public an understanding of how many ballots are left to be counted and how results fluctuate over time.  We are also providing this service to the media and others who want to track close contests in California. We are tracking 9 House races, 1 State Senate race, 3 State Assembly races, and the Los Angeles Mayoral race.
This data is updated daily using the California Secretary of State's </t>
    </r>
    <r>
      <rPr>
        <b/>
        <color rgb="FF1155CC"/>
        <u/>
      </rPr>
      <t>Unofficial Election Results</t>
    </r>
    <r>
      <rPr>
        <b/>
      </rPr>
      <t xml:space="preserve"> and the </t>
    </r>
    <r>
      <rPr>
        <b/>
        <color rgb="FF1155CC"/>
        <u/>
      </rPr>
      <t>Unprocessed Ballot Status Report</t>
    </r>
    <r>
      <rPr>
        <b/>
      </rPr>
      <t xml:space="preserve">, as well as unprocessed ballot status reports on county election office websites where available.
Additional local election results are available on county websites, which can be accessed through CVF's </t>
    </r>
    <r>
      <rPr>
        <b/>
        <color rgb="FF1155CC"/>
        <u/>
      </rPr>
      <t>Directory of County Election Offices</t>
    </r>
    <r>
      <rPr>
        <b/>
      </rPr>
      <t xml:space="preserve">.
See California Voter Foundation's newsletter </t>
    </r>
    <r>
      <rPr>
        <b/>
        <color rgb="FF1155CC"/>
        <u/>
      </rPr>
      <t>Monitor Close CA Races &amp; Vote Counts with CVF's Tracking sheet</t>
    </r>
    <r>
      <rPr>
        <b/>
      </rPr>
      <t xml:space="preserve"> for more information on this project.</t>
    </r>
  </si>
</sst>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409]d\-mmm"/>
    <numFmt numFmtId="165" formatCode="d-mmm"/>
    <numFmt numFmtId="166" formatCode="dd-mmm"/>
    <numFmt numFmtId="167" formatCode="0.0%"/>
    <numFmt numFmtId="168" formatCode="0.0000%"/>
    <numFmt numFmtId="169" formatCode="0.00000%"/>
    <numFmt numFmtId="170" formatCode="0.000%"/>
  </numFmts>
  <fonts count="24">
    <font>
      <sz val="11.0"/>
      <color theme="1"/>
      <name val="Calibri"/>
      <scheme val="minor"/>
    </font>
    <font>
      <sz val="11.0"/>
      <color theme="1"/>
      <name val="Calibri"/>
    </font>
    <font>
      <b/>
      <sz val="11.0"/>
      <color theme="1"/>
      <name val="Calibri"/>
    </font>
    <font>
      <b/>
      <color theme="1"/>
      <name val="Calibri"/>
      <scheme val="minor"/>
    </font>
    <font>
      <color theme="1"/>
      <name val="Calibri"/>
    </font>
    <font>
      <color theme="1"/>
      <name val="Calibri"/>
      <scheme val="minor"/>
    </font>
    <font>
      <color rgb="FF222222"/>
      <name val="Calibri"/>
      <scheme val="minor"/>
    </font>
    <font>
      <sz val="11.0"/>
      <color rgb="FF0563C1"/>
      <name val="Calibri"/>
    </font>
    <font>
      <b/>
      <u/>
      <color rgb="FF0000FF"/>
    </font>
    <font>
      <u/>
      <sz val="11.0"/>
      <color rgb="FF0563C1"/>
      <name val="Calibri"/>
    </font>
    <font>
      <u/>
      <sz val="11.0"/>
      <color rgb="FF0000FF"/>
      <name val="Calibri"/>
    </font>
    <font>
      <sz val="11.0"/>
      <color theme="10"/>
      <name val="Calibri"/>
    </font>
    <font>
      <b/>
      <color rgb="FF000000"/>
      <name val="Calibri"/>
    </font>
    <font>
      <u/>
      <sz val="11.0"/>
      <color theme="10"/>
      <name val="Calibri"/>
    </font>
    <font>
      <u/>
      <sz val="11.0"/>
      <color theme="10"/>
      <name val="Calibri"/>
    </font>
    <font>
      <b/>
      <u/>
      <sz val="11.0"/>
      <color theme="1"/>
      <name val="Calibri"/>
    </font>
    <font>
      <sz val="11.0"/>
      <color rgb="FF000000"/>
      <name val="Calibri"/>
    </font>
    <font>
      <u/>
      <sz val="11.0"/>
      <color rgb="FF0000FF"/>
      <name val="Calibri"/>
    </font>
    <font>
      <b/>
      <u/>
      <sz val="11.0"/>
      <color rgb="FF0000FF"/>
      <name val="Calibri"/>
    </font>
    <font>
      <sz val="11.0"/>
      <color rgb="FF222222"/>
      <name val="Calibri"/>
      <scheme val="minor"/>
    </font>
    <font>
      <u/>
      <sz val="11.0"/>
      <color rgb="FF0563C1"/>
      <name val="Calibri"/>
    </font>
    <font>
      <color theme="1"/>
      <name val="Arial"/>
    </font>
    <font>
      <b/>
      <u/>
      <color rgb="FF0000FF"/>
    </font>
    <font/>
  </fonts>
  <fills count="6">
    <fill>
      <patternFill patternType="none"/>
    </fill>
    <fill>
      <patternFill patternType="lightGray"/>
    </fill>
    <fill>
      <patternFill patternType="solid">
        <fgColor rgb="FFEA9999"/>
        <bgColor rgb="FFEA9999"/>
      </patternFill>
    </fill>
    <fill>
      <patternFill patternType="solid">
        <fgColor rgb="FFC9DAF8"/>
        <bgColor rgb="FFC9DAF8"/>
      </patternFill>
    </fill>
    <fill>
      <patternFill patternType="solid">
        <fgColor rgb="FFCFE2F3"/>
        <bgColor rgb="FFCFE2F3"/>
      </patternFill>
    </fill>
    <fill>
      <patternFill patternType="solid">
        <fgColor rgb="FFA4C2F4"/>
        <bgColor rgb="FFA4C2F4"/>
      </patternFill>
    </fill>
  </fills>
  <borders count="10">
    <border/>
    <border>
      <left/>
      <right/>
      <top/>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s>
  <cellStyleXfs count="1">
    <xf borderId="0" fillId="0" fontId="0" numFmtId="0" applyAlignment="1" applyFont="1"/>
  </cellStyleXfs>
  <cellXfs count="11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1"/>
    </xf>
    <xf borderId="0" fillId="0" fontId="2" numFmtId="16" xfId="0" applyAlignment="1" applyFont="1" applyNumberFormat="1">
      <alignment horizontal="center" shrinkToFit="0" vertical="center" wrapText="1"/>
    </xf>
    <xf borderId="0" fillId="0" fontId="2" numFmtId="164" xfId="0" applyAlignment="1" applyFont="1" applyNumberFormat="1">
      <alignment horizontal="center" shrinkToFit="0" vertical="center" wrapText="1"/>
    </xf>
    <xf borderId="0" fillId="0" fontId="3" numFmtId="49" xfId="0" applyAlignment="1" applyFont="1" applyNumberFormat="1">
      <alignment horizontal="center" readingOrder="0" shrinkToFit="0" wrapText="1"/>
    </xf>
    <xf borderId="0" fillId="0" fontId="3" numFmtId="165" xfId="0" applyAlignment="1" applyFont="1" applyNumberFormat="1">
      <alignment horizontal="center" readingOrder="0" shrinkToFit="0" vertical="center" wrapText="1"/>
    </xf>
    <xf borderId="0" fillId="0" fontId="3" numFmtId="49" xfId="0" applyAlignment="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0" fontId="3" numFmtId="166" xfId="0" applyAlignment="1" applyFont="1" applyNumberFormat="1">
      <alignment horizontal="center" readingOrder="0" vertical="center"/>
    </xf>
    <xf borderId="1" fillId="2" fontId="2" numFmtId="0" xfId="0" applyAlignment="1" applyBorder="1" applyFill="1" applyFont="1">
      <alignment horizontal="center" readingOrder="0" shrinkToFit="0" wrapText="1"/>
    </xf>
    <xf borderId="0" fillId="2" fontId="1" numFmtId="3" xfId="0" applyAlignment="1" applyFont="1" applyNumberFormat="1">
      <alignment horizontal="center" shrinkToFit="0" wrapText="1"/>
    </xf>
    <xf borderId="0" fillId="2" fontId="4" numFmtId="3" xfId="0" applyAlignment="1" applyFont="1" applyNumberFormat="1">
      <alignment shrinkToFit="0" wrapText="1"/>
    </xf>
    <xf borderId="0" fillId="2" fontId="5" numFmtId="3" xfId="0" applyAlignment="1" applyFont="1" applyNumberFormat="1">
      <alignment readingOrder="0" shrinkToFit="0" wrapText="1"/>
    </xf>
    <xf borderId="0" fillId="2" fontId="5" numFmtId="3" xfId="0" applyAlignment="1" applyFont="1" applyNumberFormat="1">
      <alignment readingOrder="0"/>
    </xf>
    <xf borderId="1" fillId="3" fontId="2" numFmtId="0" xfId="0" applyAlignment="1" applyBorder="1" applyFill="1" applyFont="1">
      <alignment horizontal="center" readingOrder="0" shrinkToFit="0" wrapText="1"/>
    </xf>
    <xf borderId="0" fillId="3" fontId="1" numFmtId="3" xfId="0" applyAlignment="1" applyFont="1" applyNumberFormat="1">
      <alignment horizontal="center" shrinkToFit="0" wrapText="1"/>
    </xf>
    <xf borderId="0" fillId="3" fontId="4" numFmtId="3" xfId="0" applyAlignment="1" applyFont="1" applyNumberFormat="1">
      <alignment shrinkToFit="0" wrapText="1"/>
    </xf>
    <xf borderId="0" fillId="3" fontId="5" numFmtId="3" xfId="0" applyAlignment="1" applyFont="1" applyNumberFormat="1">
      <alignment readingOrder="0" shrinkToFit="0" wrapText="1"/>
    </xf>
    <xf borderId="0" fillId="3" fontId="6" numFmtId="3" xfId="0" applyAlignment="1" applyFont="1" applyNumberFormat="1">
      <alignment horizontal="right" readingOrder="0" shrinkToFit="0" wrapText="1"/>
    </xf>
    <xf borderId="0" fillId="3" fontId="5" numFmtId="3" xfId="0" applyAlignment="1" applyFont="1" applyNumberFormat="1">
      <alignment readingOrder="0"/>
    </xf>
    <xf borderId="0" fillId="0" fontId="2" numFmtId="0" xfId="0" applyAlignment="1" applyFont="1">
      <alignment horizontal="center" shrinkToFit="0" wrapText="1"/>
    </xf>
    <xf borderId="0" fillId="0" fontId="1" numFmtId="3" xfId="0" applyAlignment="1" applyFont="1" applyNumberFormat="1">
      <alignment horizontal="right" shrinkToFit="0" wrapText="1"/>
    </xf>
    <xf borderId="0" fillId="0" fontId="1" numFmtId="3" xfId="0" applyAlignment="1" applyFont="1" applyNumberFormat="1">
      <alignment horizontal="right"/>
    </xf>
    <xf borderId="0" fillId="0" fontId="1" numFmtId="167" xfId="0" applyAlignment="1" applyFont="1" applyNumberFormat="1">
      <alignment horizontal="right" shrinkToFit="0" wrapText="1"/>
    </xf>
    <xf borderId="0" fillId="0" fontId="2" numFmtId="0" xfId="0" applyAlignment="1" applyFont="1">
      <alignment horizontal="center" readingOrder="0" shrinkToFit="0" wrapText="1"/>
    </xf>
    <xf borderId="0" fillId="0" fontId="1" numFmtId="3" xfId="0" applyAlignment="1" applyFont="1" applyNumberFormat="1">
      <alignment horizontal="center" shrinkToFit="0" wrapText="1"/>
    </xf>
    <xf borderId="0" fillId="0" fontId="1" numFmtId="0" xfId="0" applyAlignment="1" applyFont="1">
      <alignment horizontal="right" shrinkToFit="0" wrapText="1"/>
    </xf>
    <xf borderId="0" fillId="0" fontId="1" numFmtId="3" xfId="0" applyAlignment="1" applyFont="1" applyNumberFormat="1">
      <alignment shrinkToFit="0" wrapText="1"/>
    </xf>
    <xf borderId="0" fillId="0" fontId="1" numFmtId="0" xfId="0" applyAlignment="1" applyFont="1">
      <alignment shrinkToFit="0" wrapText="1"/>
    </xf>
    <xf borderId="0" fillId="0" fontId="4" numFmtId="0" xfId="0" applyAlignment="1" applyFont="1">
      <alignment shrinkToFit="0" wrapText="1"/>
    </xf>
    <xf borderId="0" fillId="0" fontId="5" numFmtId="0" xfId="0" applyAlignment="1" applyFont="1">
      <alignment readingOrder="0" shrinkToFit="0" wrapText="1"/>
    </xf>
    <xf borderId="0" fillId="0" fontId="5" numFmtId="3" xfId="0" applyAlignment="1" applyFont="1" applyNumberFormat="1">
      <alignment readingOrder="0" shrinkToFit="0" wrapText="1"/>
    </xf>
    <xf borderId="0" fillId="0" fontId="4" numFmtId="3" xfId="0" applyAlignment="1" applyFont="1" applyNumberFormat="1">
      <alignment shrinkToFit="0" wrapText="1"/>
    </xf>
    <xf borderId="0" fillId="0" fontId="5" numFmtId="3" xfId="0" applyAlignment="1" applyFont="1" applyNumberFormat="1">
      <alignment horizontal="right" readingOrder="0" shrinkToFit="0" wrapText="1"/>
    </xf>
    <xf borderId="0" fillId="0" fontId="1" numFmtId="0" xfId="0" applyAlignment="1" applyFont="1">
      <alignment horizontal="center"/>
    </xf>
    <xf borderId="0" fillId="0" fontId="2" numFmtId="0" xfId="0" applyAlignment="1" applyFont="1">
      <alignment horizontal="center" readingOrder="0" shrinkToFit="0" vertical="center" wrapText="1"/>
    </xf>
    <xf borderId="0" fillId="0" fontId="7" numFmtId="49" xfId="0" applyAlignment="1" applyFont="1" applyNumberFormat="1">
      <alignment horizontal="left" readingOrder="0" shrinkToFit="0" vertical="center" wrapText="1"/>
    </xf>
    <xf borderId="0" fillId="0" fontId="8" numFmtId="0" xfId="0" applyAlignment="1" applyFont="1">
      <alignment readingOrder="0"/>
    </xf>
    <xf borderId="0" fillId="0" fontId="3" numFmtId="0" xfId="0" applyFont="1"/>
    <xf borderId="0" fillId="0" fontId="3" numFmtId="165" xfId="0" applyAlignment="1" applyFont="1" applyNumberFormat="1">
      <alignment readingOrder="0" shrinkToFit="0" vertical="center" wrapText="1"/>
    </xf>
    <xf borderId="0" fillId="0" fontId="3" numFmtId="0" xfId="0" applyAlignment="1" applyFont="1">
      <alignment horizontal="center" readingOrder="0" shrinkToFit="0" vertical="center" wrapText="1"/>
    </xf>
    <xf borderId="0" fillId="0" fontId="5" numFmtId="0" xfId="0" applyAlignment="1" applyFont="1">
      <alignment vertical="center"/>
    </xf>
    <xf borderId="0" fillId="2" fontId="5" numFmtId="0" xfId="0" applyFont="1"/>
    <xf borderId="0" fillId="3" fontId="5" numFmtId="0" xfId="0" applyFont="1"/>
    <xf borderId="0" fillId="0" fontId="1" numFmtId="3" xfId="0" applyAlignment="1" applyFont="1" applyNumberFormat="1">
      <alignment readingOrder="0" shrinkToFit="0" wrapText="1"/>
    </xf>
    <xf borderId="0" fillId="0" fontId="2" numFmtId="0" xfId="0" applyAlignment="1" applyFont="1">
      <alignment horizontal="center" shrinkToFit="0" vertical="center" wrapText="1"/>
    </xf>
    <xf borderId="0" fillId="0" fontId="7" numFmtId="0" xfId="0" applyAlignment="1" applyFont="1">
      <alignment horizontal="left" readingOrder="0" shrinkToFit="0" vertical="top" wrapText="1"/>
    </xf>
    <xf borderId="0" fillId="0" fontId="3" numFmtId="0" xfId="0" applyAlignment="1" applyFont="1">
      <alignment readingOrder="0"/>
    </xf>
    <xf borderId="0" fillId="0" fontId="5" numFmtId="9" xfId="0" applyAlignment="1" applyFont="1" applyNumberFormat="1">
      <alignment readingOrder="0"/>
    </xf>
    <xf borderId="0" fillId="0" fontId="1" numFmtId="0" xfId="0" applyAlignment="1" applyFont="1">
      <alignment horizontal="right"/>
    </xf>
    <xf borderId="0" fillId="0" fontId="1" numFmtId="3" xfId="0" applyFont="1" applyNumberFormat="1"/>
    <xf borderId="0" fillId="0" fontId="2" numFmtId="16" xfId="0" applyAlignment="1" applyFont="1" applyNumberFormat="1">
      <alignment horizontal="right" shrinkToFit="0" vertical="center" wrapText="1"/>
    </xf>
    <xf borderId="0" fillId="2" fontId="1" numFmtId="3" xfId="0" applyAlignment="1" applyFont="1" applyNumberFormat="1">
      <alignment horizontal="right" shrinkToFit="0" wrapText="1"/>
    </xf>
    <xf borderId="0" fillId="3" fontId="1" numFmtId="3" xfId="0" applyAlignment="1" applyFont="1" applyNumberFormat="1">
      <alignment horizontal="right" shrinkToFit="0" wrapText="1"/>
    </xf>
    <xf borderId="0" fillId="0" fontId="4" numFmtId="3" xfId="0" applyAlignment="1" applyFont="1" applyNumberFormat="1">
      <alignment readingOrder="0" shrinkToFit="0" wrapText="1"/>
    </xf>
    <xf borderId="0" fillId="0" fontId="5" numFmtId="0" xfId="0" applyAlignment="1" applyFont="1">
      <alignment horizontal="right"/>
    </xf>
    <xf borderId="0" fillId="0" fontId="9" numFmtId="0" xfId="0" applyAlignment="1" applyFont="1">
      <alignment horizontal="left" readingOrder="0" shrinkToFit="0" vertical="top" wrapText="1"/>
    </xf>
    <xf borderId="0" fillId="0" fontId="1" numFmtId="0" xfId="0" applyAlignment="1" applyFont="1">
      <alignment horizontal="center" readingOrder="0" shrinkToFit="0" wrapText="1"/>
    </xf>
    <xf borderId="0" fillId="0" fontId="2" numFmtId="16" xfId="0" applyAlignment="1" applyFont="1" applyNumberFormat="1">
      <alignment horizontal="center" shrinkToFit="0" wrapText="1"/>
    </xf>
    <xf borderId="0" fillId="0" fontId="2" numFmtId="164" xfId="0" applyAlignment="1" applyFont="1" applyNumberFormat="1">
      <alignment horizontal="center" shrinkToFit="0" wrapText="1"/>
    </xf>
    <xf borderId="0" fillId="0" fontId="3" numFmtId="0" xfId="0" applyAlignment="1" applyFont="1">
      <alignment horizontal="center" readingOrder="0" shrinkToFit="0" wrapText="1"/>
    </xf>
    <xf borderId="1" fillId="4" fontId="2" numFmtId="0" xfId="0" applyAlignment="1" applyBorder="1" applyFill="1" applyFont="1">
      <alignment horizontal="center" readingOrder="0" shrinkToFit="0" wrapText="1"/>
    </xf>
    <xf borderId="0" fillId="4" fontId="1" numFmtId="3" xfId="0" applyAlignment="1" applyFont="1" applyNumberFormat="1">
      <alignment horizontal="center" shrinkToFit="0" wrapText="1"/>
    </xf>
    <xf borderId="0" fillId="4" fontId="4" numFmtId="3" xfId="0" applyAlignment="1" applyFont="1" applyNumberFormat="1">
      <alignment shrinkToFit="0" wrapText="1"/>
    </xf>
    <xf borderId="0" fillId="4" fontId="5" numFmtId="3" xfId="0" applyAlignment="1" applyFont="1" applyNumberFormat="1">
      <alignment readingOrder="0" shrinkToFit="0" wrapText="1"/>
    </xf>
    <xf borderId="0" fillId="4" fontId="5" numFmtId="0" xfId="0" applyFont="1"/>
    <xf borderId="1" fillId="5" fontId="2" numFmtId="0" xfId="0" applyAlignment="1" applyBorder="1" applyFill="1" applyFont="1">
      <alignment horizontal="center" readingOrder="0" shrinkToFit="0" wrapText="1"/>
    </xf>
    <xf borderId="0" fillId="5" fontId="1" numFmtId="3" xfId="0" applyAlignment="1" applyFont="1" applyNumberFormat="1">
      <alignment horizontal="center" shrinkToFit="0" wrapText="1"/>
    </xf>
    <xf borderId="0" fillId="5" fontId="4" numFmtId="3" xfId="0" applyAlignment="1" applyFont="1" applyNumberFormat="1">
      <alignment shrinkToFit="0" wrapText="1"/>
    </xf>
    <xf borderId="0" fillId="5" fontId="5" numFmtId="3" xfId="0" applyAlignment="1" applyFont="1" applyNumberFormat="1">
      <alignment readingOrder="0" shrinkToFit="0" wrapText="1"/>
    </xf>
    <xf borderId="0" fillId="5" fontId="5" numFmtId="0" xfId="0" applyFont="1"/>
    <xf borderId="0" fillId="0" fontId="10" numFmtId="0" xfId="0" applyAlignment="1" applyFont="1">
      <alignment horizontal="left" readingOrder="0" shrinkToFit="0" vertical="top" wrapText="1"/>
    </xf>
    <xf borderId="0" fillId="0" fontId="11" numFmtId="0" xfId="0" applyAlignment="1" applyFont="1">
      <alignment horizontal="left" shrinkToFit="0" vertical="top" wrapText="1"/>
    </xf>
    <xf borderId="0" fillId="0" fontId="12" numFmtId="0" xfId="0" applyAlignment="1" applyFont="1">
      <alignment readingOrder="0"/>
    </xf>
    <xf borderId="0" fillId="0" fontId="5" numFmtId="49" xfId="0" applyAlignment="1" applyFont="1" applyNumberFormat="1">
      <alignment horizontal="right" readingOrder="0" shrinkToFit="0" wrapText="1"/>
    </xf>
    <xf borderId="0" fillId="0" fontId="13" numFmtId="0" xfId="0" applyAlignment="1" applyFont="1">
      <alignment horizontal="left" readingOrder="0" shrinkToFit="0" vertical="top" wrapText="1"/>
    </xf>
    <xf borderId="0" fillId="0" fontId="4" numFmtId="0" xfId="0" applyFont="1"/>
    <xf borderId="0" fillId="0" fontId="4" numFmtId="0" xfId="0" applyAlignment="1" applyFont="1">
      <alignment horizontal="right"/>
    </xf>
    <xf borderId="0" fillId="0" fontId="14" numFmtId="0" xfId="0" applyAlignment="1" applyFont="1">
      <alignment horizontal="left" shrinkToFit="0" vertical="top" wrapText="1"/>
    </xf>
    <xf borderId="0" fillId="0" fontId="1" numFmtId="0" xfId="0" applyAlignment="1" applyFont="1">
      <alignment horizontal="left"/>
    </xf>
    <xf borderId="0" fillId="0" fontId="15" numFmtId="0" xfId="0" applyAlignment="1" applyFont="1">
      <alignment horizontal="left" readingOrder="0"/>
    </xf>
    <xf borderId="0" fillId="0" fontId="1" numFmtId="3" xfId="0" applyAlignment="1" applyFont="1" applyNumberFormat="1">
      <alignment horizontal="right" readingOrder="0" shrinkToFit="0" wrapText="1"/>
    </xf>
    <xf borderId="0" fillId="0" fontId="5" numFmtId="0" xfId="0" applyFont="1"/>
    <xf borderId="0" fillId="0" fontId="16" numFmtId="0" xfId="0" applyAlignment="1" applyFont="1">
      <alignment horizontal="left" readingOrder="0" shrinkToFit="0" vertical="top" wrapText="1"/>
    </xf>
    <xf borderId="0" fillId="0" fontId="2" numFmtId="16" xfId="0" applyAlignment="1" applyFont="1" applyNumberFormat="1">
      <alignment horizontal="center" readingOrder="0" shrinkToFit="0" vertical="center" wrapText="1"/>
    </xf>
    <xf borderId="0" fillId="4" fontId="1" numFmtId="3" xfId="0" applyAlignment="1" applyFont="1" applyNumberFormat="1">
      <alignment horizontal="right" readingOrder="0" shrinkToFit="0" wrapText="1"/>
    </xf>
    <xf borderId="0" fillId="5" fontId="3" numFmtId="0" xfId="0" applyAlignment="1" applyFont="1">
      <alignment horizontal="center" readingOrder="0" shrinkToFit="0" wrapText="1"/>
    </xf>
    <xf borderId="0" fillId="0" fontId="1" numFmtId="0" xfId="0" applyAlignment="1" applyFont="1">
      <alignment horizontal="right" readingOrder="0" shrinkToFit="0" wrapText="1"/>
    </xf>
    <xf borderId="0" fillId="0" fontId="4" numFmtId="3" xfId="0" applyFont="1" applyNumberFormat="1"/>
    <xf borderId="0" fillId="0" fontId="17" numFmtId="49" xfId="0" applyAlignment="1" applyFont="1" applyNumberFormat="1">
      <alignment horizontal="left" readingOrder="0" shrinkToFit="0" vertical="center" wrapText="1"/>
    </xf>
    <xf borderId="0" fillId="0" fontId="1" numFmtId="49" xfId="0" applyAlignment="1" applyFont="1" applyNumberFormat="1">
      <alignment horizontal="left" readingOrder="0" shrinkToFit="0" vertical="center" wrapText="1"/>
    </xf>
    <xf borderId="0" fillId="0" fontId="18" numFmtId="0" xfId="0" applyAlignment="1" applyFont="1">
      <alignment readingOrder="0"/>
    </xf>
    <xf borderId="0" fillId="2" fontId="3" numFmtId="0" xfId="0" applyAlignment="1" applyFont="1">
      <alignment horizontal="center" readingOrder="0" shrinkToFit="0" wrapText="1"/>
    </xf>
    <xf borderId="0" fillId="0" fontId="1" numFmtId="168" xfId="0" applyAlignment="1" applyFont="1" applyNumberFormat="1">
      <alignment horizontal="right" shrinkToFit="0" wrapText="1"/>
    </xf>
    <xf borderId="0" fillId="0" fontId="3" numFmtId="166" xfId="0" applyAlignment="1" applyFont="1" applyNumberFormat="1">
      <alignment readingOrder="0" shrinkToFit="0" vertical="center" wrapText="1"/>
    </xf>
    <xf borderId="0" fillId="3" fontId="1" numFmtId="3" xfId="0" applyAlignment="1" applyFont="1" applyNumberFormat="1">
      <alignment horizontal="right" readingOrder="0" shrinkToFit="0" wrapText="1"/>
    </xf>
    <xf borderId="0" fillId="3" fontId="19" numFmtId="3" xfId="0" applyAlignment="1" applyFont="1" applyNumberFormat="1">
      <alignment horizontal="right" readingOrder="0" shrinkToFit="0" wrapText="1"/>
    </xf>
    <xf borderId="0" fillId="0" fontId="1" numFmtId="169" xfId="0" applyAlignment="1" applyFont="1" applyNumberFormat="1">
      <alignment horizontal="right" shrinkToFit="0" wrapText="1"/>
    </xf>
    <xf borderId="0" fillId="3" fontId="4" numFmtId="3" xfId="0" applyAlignment="1" applyFont="1" applyNumberFormat="1">
      <alignment readingOrder="0" shrinkToFit="0" wrapText="1"/>
    </xf>
    <xf borderId="0" fillId="0" fontId="20" numFmtId="49" xfId="0" applyAlignment="1" applyFont="1" applyNumberFormat="1">
      <alignment horizontal="left" readingOrder="0" shrinkToFit="0" vertical="center" wrapText="1"/>
    </xf>
    <xf borderId="0" fillId="2" fontId="2" numFmtId="0" xfId="0" applyAlignment="1" applyFont="1">
      <alignment horizontal="center" readingOrder="0" shrinkToFit="0" wrapText="1"/>
    </xf>
    <xf borderId="0" fillId="0" fontId="1" numFmtId="170" xfId="0" applyAlignment="1" applyFont="1" applyNumberFormat="1">
      <alignment horizontal="right" shrinkToFit="0" wrapText="1"/>
    </xf>
    <xf borderId="0" fillId="0" fontId="3" numFmtId="0" xfId="0" applyAlignment="1" applyFont="1">
      <alignment readingOrder="0" shrinkToFit="0" vertical="center" wrapText="1"/>
    </xf>
    <xf borderId="0" fillId="0" fontId="4" numFmtId="3" xfId="0" applyAlignment="1" applyFont="1" applyNumberFormat="1">
      <alignment horizontal="right" shrinkToFit="0" wrapText="1"/>
    </xf>
    <xf borderId="0" fillId="0" fontId="21" numFmtId="0" xfId="0" applyAlignment="1" applyFont="1">
      <alignment readingOrder="0"/>
    </xf>
    <xf borderId="2" fillId="0" fontId="22" numFmtId="0" xfId="0" applyAlignment="1" applyBorder="1" applyFont="1">
      <alignment readingOrder="0" shrinkToFit="0" vertical="top" wrapText="1"/>
    </xf>
    <xf borderId="3" fillId="0" fontId="23" numFmtId="0" xfId="0" applyBorder="1" applyFont="1"/>
    <xf borderId="4" fillId="0" fontId="23" numFmtId="0" xfId="0" applyBorder="1" applyFont="1"/>
    <xf borderId="5" fillId="0" fontId="23" numFmtId="0" xfId="0" applyBorder="1" applyFont="1"/>
    <xf borderId="6" fillId="0" fontId="23" numFmtId="0" xfId="0" applyBorder="1" applyFont="1"/>
    <xf borderId="7" fillId="0" fontId="23" numFmtId="0" xfId="0" applyBorder="1" applyFont="1"/>
    <xf borderId="8" fillId="0" fontId="23" numFmtId="0" xfId="0" applyBorder="1" applyFont="1"/>
    <xf borderId="9" fillId="0" fontId="23"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20"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elections.cdn.sos.ca.gov/statewide-elections/2022-general/unprocessed-ballots-report.pdf" TargetMode="External"/><Relationship Id="rId2" Type="http://schemas.openxmlformats.org/officeDocument/2006/relationships/hyperlink" Target="https://apnews.com/article/2022-midterm-elections-california-veterans-sacramento-gavin-newsom-868cf922b642790bb63217d370070d50" TargetMode="External"/><Relationship Id="rId3" Type="http://schemas.openxmlformats.org/officeDocument/2006/relationships/hyperlink" Target="https://drive.google.com/file/d/1k69f4DwCLxh9M06Q0PlYQ9Y3p3aDLYEs/view" TargetMode="External"/><Relationship Id="rId4" Type="http://schemas.openxmlformats.org/officeDocument/2006/relationships/hyperlink" Target="https://www.monocounty.ca.gov/sites/default/files/fileattachments/elections/page/32644/mono_canvass_for_website.pdf" TargetMode="External"/><Relationship Id="rId11" Type="http://schemas.openxmlformats.org/officeDocument/2006/relationships/drawing" Target="../drawings/drawing1.xml"/><Relationship Id="rId10" Type="http://schemas.openxmlformats.org/officeDocument/2006/relationships/hyperlink" Target="https://www.sierracounty.ca.gov/DocumentCenter/View/7679/Statement-of-Vote" TargetMode="External"/><Relationship Id="rId9" Type="http://schemas.openxmlformats.org/officeDocument/2006/relationships/hyperlink" Target="https://elections.saccounty.gov/ElectionInformation/Documents/2022-November-General/Reports/12072022.pdf" TargetMode="External"/><Relationship Id="rId5" Type="http://schemas.openxmlformats.org/officeDocument/2006/relationships/hyperlink" Target="https://files4.revize.com/yubaca/Yuba%20County/Elections/Current%20Election/Results/Nov22/Nov2022_Final_Results.pdf" TargetMode="External"/><Relationship Id="rId6" Type="http://schemas.openxmlformats.org/officeDocument/2006/relationships/hyperlink" Target="https://www.edcgov.us/Government/Elections/Pages/elections_main_info.aspx" TargetMode="External"/><Relationship Id="rId7" Type="http://schemas.openxmlformats.org/officeDocument/2006/relationships/hyperlink" Target="https://www.nevadacountyca.gov/DocumentCenter/View/46317/Cumulative-Results---With-Judge-Names-12-2-2022-03-12-52-PM" TargetMode="External"/><Relationship Id="rId8" Type="http://schemas.openxmlformats.org/officeDocument/2006/relationships/hyperlink" Target="https://www.placercountyelections.gov/election-night-result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votemadera.com/consolidated-general-election-november-8-2022/" TargetMode="External"/><Relationship Id="rId2" Type="http://schemas.openxmlformats.org/officeDocument/2006/relationships/hyperlink" Target="https://apnews.com/article/2022-midterm-elections-california-race-and-ethnicity-congress-government-politics-a75c8a9b693ce9a39cce7be09eb124dc" TargetMode="External"/><Relationship Id="rId3" Type="http://schemas.openxmlformats.org/officeDocument/2006/relationships/hyperlink" Target="https://results.enr.clarityelections.com/CA/Merced/116138/web.307039/" TargetMode="External"/><Relationship Id="rId4" Type="http://schemas.openxmlformats.org/officeDocument/2006/relationships/hyperlink" Target="https://results.enr.clarityelections.com/CA/Madera/116174/web.307039/" TargetMode="External"/><Relationship Id="rId5" Type="http://schemas.openxmlformats.org/officeDocument/2006/relationships/hyperlink" Target="https://stanvote.com/pdf/past-results/11-08-2022-sov.pdf" TargetMode="External"/><Relationship Id="rId6" Type="http://schemas.openxmlformats.org/officeDocument/2006/relationships/hyperlink" Target="https://www.livevoterturnout.com/ENR/sanjoaquincaenr/14/en/Index_14.html" TargetMode="External"/><Relationship Id="rId7" Type="http://schemas.openxmlformats.org/officeDocument/2006/relationships/hyperlink" Target="https://www.co.fresno.ca.us/departments/county-clerk-registrar-of-voters/election-information/election-results/results-for-november-8-2022-statewide-general-election" TargetMode="External"/><Relationship Id="rId8"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elections.cdn.sos.ca.gov/statewide-elections/2022-general/unprocessed-ballots-report.pdf" TargetMode="External"/><Relationship Id="rId2" Type="http://schemas.openxmlformats.org/officeDocument/2006/relationships/hyperlink" Target="https://apnews.com/article/california-donald-trump-voter-registration-david-valadao-dan-newhouse-216d0f43fe68a22222f175d2a8a94daa" TargetMode="External"/><Relationship Id="rId3" Type="http://schemas.openxmlformats.org/officeDocument/2006/relationships/hyperlink" Target="https://www.countyofkings.com/home/showpublisheddocument/30296" TargetMode="External"/><Relationship Id="rId4" Type="http://schemas.openxmlformats.org/officeDocument/2006/relationships/hyperlink" Target="https://tularecoelections.org/elections/registrar-of-voters/current-election-information/november-8-2022-general-election-elecciones-generales-del-8-de-noviembre-de-2022/statement-of-vote/" TargetMode="External"/><Relationship Id="rId5" Type="http://schemas.openxmlformats.org/officeDocument/2006/relationships/hyperlink" Target="https://kernvote.com/ElectionInformation/Results/?ID=117"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elections.cdn.sos.ca.gov/statewide-elections/2022-general/unprocessed-ballots-report.pdf?_ga=2.10446839.37205303.1668445390-624014583.1654701353" TargetMode="External"/><Relationship Id="rId2" Type="http://schemas.openxmlformats.org/officeDocument/2006/relationships/hyperlink" Target="https://apnews.com/article/2022-midterm-elections-gop-california-house-win-6f63ce40257c35c25e798a6dc6988af3" TargetMode="External"/><Relationship Id="rId3" Type="http://schemas.openxmlformats.org/officeDocument/2006/relationships/hyperlink" Target="https://www.lavote.gov/docs/rrcc/news-releases/11082022_certified-results.pdf" TargetMode="Externa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elections.cdn.sos.ca.gov/statewide-elections/2022-general/unprocessed-ballots-report.pdf?_ga=2.10446839.37205303.1668445390-624014583.1654701353" TargetMode="External"/><Relationship Id="rId2" Type="http://schemas.openxmlformats.org/officeDocument/2006/relationships/hyperlink" Target="https://apnews.com/article/2022-midterm-elections-california-los-angeles-government-and-politics-faa076855197ae17f0fa26a635acb367" TargetMode="External"/><Relationship Id="rId3" Type="http://schemas.openxmlformats.org/officeDocument/2006/relationships/hyperlink" Target="https://www.lavote.gov/docs/rrcc/news-releases/11082022_certified-results.pdf" TargetMode="Externa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voteinfo.net/" TargetMode="External"/><Relationship Id="rId2" Type="http://schemas.openxmlformats.org/officeDocument/2006/relationships/hyperlink" Target="https://apnews.com/article/2022-midterm-elections-california-house-elections-gop-382318869531533a47bfada98a9a7efa" TargetMode="External"/><Relationship Id="rId3" Type="http://schemas.openxmlformats.org/officeDocument/2006/relationships/hyperlink" Target="https://voteinfo.net/Elections/20221108/docs/ElectionSummaryReportRPT_mhtml.htm"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elections.cdn.sos.ca.gov/statewide-elections/2022-general/unprocessed-ballots-report.pdf" TargetMode="External"/><Relationship Id="rId2" Type="http://schemas.openxmlformats.org/officeDocument/2006/relationships/hyperlink" Target="https://apnews.com/article/2022-midterm-elections-california-house-elections-gop-382318869531533a47bfada98a9a7efa" TargetMode="External"/><Relationship Id="rId3" Type="http://schemas.openxmlformats.org/officeDocument/2006/relationships/hyperlink" Target="https://ocvote.gov/results/current-election-results" TargetMode="External"/><Relationship Id="rId4" Type="http://schemas.openxmlformats.org/officeDocument/2006/relationships/hyperlink" Target="https://www.lavote.gov/docs/rrcc/news-releases/11082022_certified-results.pdf" TargetMode="External"/><Relationship Id="rId5"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cvote.gov/results/whats-left-to-count/total-ballots-left-to-count" TargetMode="External"/><Relationship Id="rId2" Type="http://schemas.openxmlformats.org/officeDocument/2006/relationships/hyperlink" Target="https://apnews.com/article/2022-midterm-elections-california-cd03ac6217b63f76c5a954961bf0fbf2" TargetMode="External"/><Relationship Id="rId3" Type="http://schemas.openxmlformats.org/officeDocument/2006/relationships/hyperlink" Target="https://ocvote.gov/results/current-election-results" TargetMode="External"/><Relationship Id="rId4"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livevoterturnout.com/ENR/sandiegocaenr/16/en/Index_16.html" TargetMode="External"/><Relationship Id="rId2" Type="http://schemas.openxmlformats.org/officeDocument/2006/relationships/hyperlink" Target="https://apnews.com/article/california-congress-government-and-politics-11dca51226784861b30397d7fa199053" TargetMode="External"/><Relationship Id="rId3" Type="http://schemas.openxmlformats.org/officeDocument/2006/relationships/hyperlink" Target="https://ocvote.gov/results/current-election-results" TargetMode="External"/><Relationship Id="rId4" Type="http://schemas.openxmlformats.org/officeDocument/2006/relationships/hyperlink" Target="https://www.livevoterturnout.com/ENR/sandiegocaenr/16/en/Index_16.html" TargetMode="External"/><Relationship Id="rId5"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results.saccounty.gov/Default.aspx" TargetMode="External"/><Relationship Id="rId2" Type="http://schemas.openxmlformats.org/officeDocument/2006/relationships/hyperlink" Target="https://www.sacbee.com/news/politics-government/capitol-alert/article269370917.html?ac_cid=DM731603&amp;ac_bid=1494391023" TargetMode="External"/><Relationship Id="rId3" Type="http://schemas.openxmlformats.org/officeDocument/2006/relationships/hyperlink" Target="https://elections.saccounty.gov/ElectionInformation/Documents/2022-November-General/Reports/12072022.pdf"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elections.cdn.sos.ca.gov/statewide-elections/2022-general/unprocessed-ballots-report.pdf" TargetMode="External"/><Relationship Id="rId2" Type="http://schemas.openxmlformats.org/officeDocument/2006/relationships/hyperlink" Target="https://www.countyofkings.com/home/showpublisheddocument/30296" TargetMode="External"/><Relationship Id="rId3" Type="http://schemas.openxmlformats.org/officeDocument/2006/relationships/hyperlink" Target="https://tularecoelections.org/elections/registrar-of-voters/current-election-information/november-8-2022-general-election-elecciones-generales-del-8-de-noviembre-de-2022/statement-of-vote/" TargetMode="External"/><Relationship Id="rId4" Type="http://schemas.openxmlformats.org/officeDocument/2006/relationships/hyperlink" Target="https://kernvote.com/ElectionInformation/Results/?ID=117" TargetMode="External"/><Relationship Id="rId5" Type="http://schemas.openxmlformats.org/officeDocument/2006/relationships/hyperlink" Target="https://www.co.fresno.ca.us/departments/county-clerk-registrar-of-voters/election-information/election-results/results-for-november-8-2022-statewide-general-election" TargetMode="External"/><Relationship Id="rId6" Type="http://schemas.openxmlformats.org/officeDocument/2006/relationships/hyperlink" Target="https://www.bakersfield.com/news/kern-registrar-of-voters-announces-16th-district-senate-recount-to-start-wednesday/article_210cb1e0-8012-11ed-9fb2-8f1d314480a5.html" TargetMode="External"/><Relationship Id="rId7"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results.saccounty.gov/Default.aspx" TargetMode="External"/><Relationship Id="rId2" Type="http://schemas.openxmlformats.org/officeDocument/2006/relationships/hyperlink" Target="https://elections.saccounty.gov/ElectionInformation/Documents/2022-November-General/Reports/12072022.pdf" TargetMode="External"/><Relationship Id="rId3"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elections.cdn.sos.ca.gov/statewide-elections/2022-general/unprocessed-ballots-report.pdf?_ga=2.10446839.37205303.1668445390-624014583.1654701353" TargetMode="External"/><Relationship Id="rId2" Type="http://schemas.openxmlformats.org/officeDocument/2006/relationships/hyperlink" Target="https://www.lavote.gov/docs/rrcc/news-releases/11082022_certified-results.pdf" TargetMode="External"/><Relationship Id="rId3"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voteinfo.net/" TargetMode="External"/><Relationship Id="rId2" Type="http://schemas.openxmlformats.org/officeDocument/2006/relationships/hyperlink" Target="https://voteinfo.net/Elections/20221108/docs/ElectionSummaryReportRPT_mhtml.htm"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results.lavote.gov/" TargetMode="External"/><Relationship Id="rId2" Type="http://schemas.openxmlformats.org/officeDocument/2006/relationships/hyperlink" Target="https://apnews.com/article/los-angeles-mayor-karen-bass-02f20ef45e3cbbfc94e2eb073e1e860d" TargetMode="External"/><Relationship Id="rId3" Type="http://schemas.openxmlformats.org/officeDocument/2006/relationships/hyperlink" Target="https://www.lavote.gov/docs/rrcc/news-releases/11082022_certified-results.pdf" TargetMode="External"/><Relationship Id="rId4"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electionresults.sos.ca.gov/" TargetMode="External"/><Relationship Id="rId2"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5.0"/>
    <col customWidth="1" min="2" max="6" width="8.71"/>
    <col customWidth="1" min="7" max="7" width="9.14"/>
    <col customWidth="1" min="8" max="27" width="8.71"/>
  </cols>
  <sheetData>
    <row r="1">
      <c r="A1" s="1" t="s">
        <v>0</v>
      </c>
      <c r="B1" s="2">
        <v>44879.0</v>
      </c>
      <c r="C1" s="3">
        <v>44880.0</v>
      </c>
      <c r="D1" s="3">
        <v>44881.0</v>
      </c>
      <c r="E1" s="3">
        <v>44882.0</v>
      </c>
      <c r="F1" s="3">
        <v>44883.0</v>
      </c>
      <c r="G1" s="4" t="s">
        <v>1</v>
      </c>
      <c r="H1" s="5">
        <v>44886.0</v>
      </c>
      <c r="I1" s="6" t="s">
        <v>2</v>
      </c>
      <c r="J1" s="5">
        <v>44887.0</v>
      </c>
      <c r="K1" s="6" t="s">
        <v>3</v>
      </c>
      <c r="L1" s="5">
        <v>44888.0</v>
      </c>
      <c r="M1" s="5">
        <v>44889.0</v>
      </c>
      <c r="N1" s="5">
        <v>44893.0</v>
      </c>
      <c r="O1" s="4" t="s">
        <v>4</v>
      </c>
      <c r="P1" s="5">
        <v>44894.0</v>
      </c>
      <c r="Q1" s="6" t="s">
        <v>5</v>
      </c>
      <c r="R1" s="6" t="s">
        <v>6</v>
      </c>
      <c r="S1" s="7">
        <v>44896.0</v>
      </c>
      <c r="T1" s="7">
        <v>44897.0</v>
      </c>
      <c r="U1" s="6" t="s">
        <v>7</v>
      </c>
      <c r="V1" s="7">
        <v>44900.0</v>
      </c>
      <c r="W1" s="7">
        <v>44901.0</v>
      </c>
      <c r="X1" s="6" t="s">
        <v>8</v>
      </c>
      <c r="Y1" s="7">
        <v>44902.0</v>
      </c>
      <c r="Z1" s="7">
        <v>44903.0</v>
      </c>
      <c r="AA1" s="8"/>
    </row>
    <row r="2">
      <c r="A2" s="9" t="s">
        <v>9</v>
      </c>
      <c r="B2" s="10">
        <v>89150.0</v>
      </c>
      <c r="C2" s="11">
        <v>89725.0</v>
      </c>
      <c r="D2" s="11">
        <v>96334.0</v>
      </c>
      <c r="E2" s="12">
        <v>99970.0</v>
      </c>
      <c r="F2" s="12">
        <v>102427.0</v>
      </c>
      <c r="G2" s="12">
        <v>120580.0</v>
      </c>
      <c r="H2" s="12">
        <v>123544.0</v>
      </c>
      <c r="I2" s="12">
        <v>123561.0</v>
      </c>
      <c r="J2" s="12">
        <v>124396.0</v>
      </c>
      <c r="K2" s="12">
        <v>148101.0</v>
      </c>
      <c r="L2" s="12">
        <v>148103.0</v>
      </c>
      <c r="M2" s="12">
        <v>156469.0</v>
      </c>
      <c r="N2" s="12">
        <v>156469.0</v>
      </c>
      <c r="O2" s="12">
        <v>156469.0</v>
      </c>
      <c r="P2" s="12">
        <v>156469.0</v>
      </c>
      <c r="Q2" s="12">
        <v>172347.0</v>
      </c>
      <c r="R2" s="12">
        <v>178022.0</v>
      </c>
      <c r="S2" s="12">
        <v>178058.0</v>
      </c>
      <c r="T2" s="12">
        <v>178065.0</v>
      </c>
      <c r="U2" s="12">
        <v>178551.0</v>
      </c>
      <c r="V2" s="12">
        <v>180291.0</v>
      </c>
      <c r="W2" s="12">
        <v>180291.0</v>
      </c>
      <c r="X2" s="12">
        <v>180292.0</v>
      </c>
      <c r="Y2" s="12">
        <v>181256.0</v>
      </c>
      <c r="Z2" s="12">
        <v>181438.0</v>
      </c>
      <c r="AA2" s="13"/>
    </row>
    <row r="3">
      <c r="A3" s="14" t="s">
        <v>10</v>
      </c>
      <c r="B3" s="15">
        <v>79188.0</v>
      </c>
      <c r="C3" s="16">
        <v>79595.0</v>
      </c>
      <c r="D3" s="16">
        <v>85690.0</v>
      </c>
      <c r="E3" s="17">
        <v>91154.0</v>
      </c>
      <c r="F3" s="17">
        <v>92948.0</v>
      </c>
      <c r="G3" s="17">
        <v>110014.0</v>
      </c>
      <c r="H3" s="17">
        <v>113469.0</v>
      </c>
      <c r="I3" s="17">
        <v>113493.0</v>
      </c>
      <c r="J3" s="17">
        <v>114118.0</v>
      </c>
      <c r="K3" s="18">
        <v>132576.0</v>
      </c>
      <c r="L3" s="17">
        <v>132576.0</v>
      </c>
      <c r="M3" s="17">
        <v>137009.0</v>
      </c>
      <c r="N3" s="17">
        <v>137009.0</v>
      </c>
      <c r="O3" s="17">
        <v>137009.0</v>
      </c>
      <c r="P3" s="17">
        <v>137009.0</v>
      </c>
      <c r="Q3" s="17">
        <v>149361.0</v>
      </c>
      <c r="R3" s="17">
        <v>153941.0</v>
      </c>
      <c r="S3" s="17">
        <v>153954.0</v>
      </c>
      <c r="T3" s="17">
        <v>153968.0</v>
      </c>
      <c r="U3" s="17">
        <v>154543.0</v>
      </c>
      <c r="V3" s="17">
        <v>155767.0</v>
      </c>
      <c r="W3" s="17">
        <v>155767.0</v>
      </c>
      <c r="X3" s="17">
        <v>155768.0</v>
      </c>
      <c r="Y3" s="17">
        <v>156633.0</v>
      </c>
      <c r="Z3" s="17">
        <v>156761.0</v>
      </c>
      <c r="AA3" s="19"/>
    </row>
    <row r="4">
      <c r="A4" s="20" t="s">
        <v>11</v>
      </c>
      <c r="B4" s="21">
        <f t="shared" ref="B4:Z4" si="1">B2-B3</f>
        <v>9962</v>
      </c>
      <c r="C4" s="21">
        <f t="shared" si="1"/>
        <v>10130</v>
      </c>
      <c r="D4" s="21">
        <f t="shared" si="1"/>
        <v>10644</v>
      </c>
      <c r="E4" s="21">
        <f t="shared" si="1"/>
        <v>8816</v>
      </c>
      <c r="F4" s="21">
        <f t="shared" si="1"/>
        <v>9479</v>
      </c>
      <c r="G4" s="21">
        <f t="shared" si="1"/>
        <v>10566</v>
      </c>
      <c r="H4" s="21">
        <f t="shared" si="1"/>
        <v>10075</v>
      </c>
      <c r="I4" s="21">
        <f t="shared" si="1"/>
        <v>10068</v>
      </c>
      <c r="J4" s="21">
        <f t="shared" si="1"/>
        <v>10278</v>
      </c>
      <c r="K4" s="21">
        <f t="shared" si="1"/>
        <v>15525</v>
      </c>
      <c r="L4" s="21">
        <f t="shared" si="1"/>
        <v>15527</v>
      </c>
      <c r="M4" s="21">
        <f t="shared" si="1"/>
        <v>19460</v>
      </c>
      <c r="N4" s="21">
        <f t="shared" si="1"/>
        <v>19460</v>
      </c>
      <c r="O4" s="21">
        <f t="shared" si="1"/>
        <v>19460</v>
      </c>
      <c r="P4" s="21">
        <f t="shared" si="1"/>
        <v>19460</v>
      </c>
      <c r="Q4" s="21">
        <f t="shared" si="1"/>
        <v>22986</v>
      </c>
      <c r="R4" s="21">
        <f t="shared" si="1"/>
        <v>24081</v>
      </c>
      <c r="S4" s="21">
        <f t="shared" si="1"/>
        <v>24104</v>
      </c>
      <c r="T4" s="21">
        <f t="shared" si="1"/>
        <v>24097</v>
      </c>
      <c r="U4" s="21">
        <f t="shared" si="1"/>
        <v>24008</v>
      </c>
      <c r="V4" s="21">
        <f t="shared" si="1"/>
        <v>24524</v>
      </c>
      <c r="W4" s="21">
        <f t="shared" si="1"/>
        <v>24524</v>
      </c>
      <c r="X4" s="21">
        <f t="shared" si="1"/>
        <v>24524</v>
      </c>
      <c r="Y4" s="21">
        <f t="shared" si="1"/>
        <v>24623</v>
      </c>
      <c r="Z4" s="21">
        <f t="shared" si="1"/>
        <v>24677</v>
      </c>
      <c r="AA4" s="22"/>
    </row>
    <row r="5">
      <c r="A5" s="20" t="s">
        <v>12</v>
      </c>
      <c r="B5" s="23">
        <f t="shared" ref="B5:Z5" si="2">B4/sum(B2:B3)</f>
        <v>0.05917855743</v>
      </c>
      <c r="C5" s="23">
        <f t="shared" si="2"/>
        <v>0.05982754548</v>
      </c>
      <c r="D5" s="23">
        <f t="shared" si="2"/>
        <v>0.05847580539</v>
      </c>
      <c r="E5" s="23">
        <f t="shared" si="2"/>
        <v>0.04612712166</v>
      </c>
      <c r="F5" s="23">
        <f t="shared" si="2"/>
        <v>0.04851695457</v>
      </c>
      <c r="G5" s="23">
        <f t="shared" si="2"/>
        <v>0.04582079326</v>
      </c>
      <c r="H5" s="23">
        <f t="shared" si="2"/>
        <v>0.04250821685</v>
      </c>
      <c r="I5" s="23">
        <f t="shared" si="2"/>
        <v>0.04247133565</v>
      </c>
      <c r="J5" s="23">
        <f t="shared" si="2"/>
        <v>0.04309181012</v>
      </c>
      <c r="K5" s="23">
        <f t="shared" si="2"/>
        <v>0.05531269039</v>
      </c>
      <c r="L5" s="23">
        <f t="shared" si="2"/>
        <v>0.05531942183</v>
      </c>
      <c r="M5" s="23">
        <f t="shared" si="2"/>
        <v>0.06630820709</v>
      </c>
      <c r="N5" s="23">
        <f t="shared" si="2"/>
        <v>0.06630820709</v>
      </c>
      <c r="O5" s="23">
        <f t="shared" si="2"/>
        <v>0.06630820709</v>
      </c>
      <c r="P5" s="23">
        <f t="shared" si="2"/>
        <v>0.06630820709</v>
      </c>
      <c r="Q5" s="23">
        <f t="shared" si="2"/>
        <v>0.07144988623</v>
      </c>
      <c r="R5" s="23">
        <f t="shared" si="2"/>
        <v>0.07254121694</v>
      </c>
      <c r="S5" s="23">
        <f t="shared" si="2"/>
        <v>0.07259978555</v>
      </c>
      <c r="T5" s="23">
        <f t="shared" si="2"/>
        <v>0.07257411161</v>
      </c>
      <c r="U5" s="23">
        <f t="shared" si="2"/>
        <v>0.07207575039</v>
      </c>
      <c r="V5" s="23">
        <f t="shared" si="2"/>
        <v>0.07297549828</v>
      </c>
      <c r="W5" s="23">
        <f t="shared" si="2"/>
        <v>0.07297549828</v>
      </c>
      <c r="X5" s="23">
        <f t="shared" si="2"/>
        <v>0.07297506398</v>
      </c>
      <c r="Y5" s="23">
        <f t="shared" si="2"/>
        <v>0.07287304411</v>
      </c>
      <c r="Z5" s="23">
        <f t="shared" si="2"/>
        <v>0.07296591652</v>
      </c>
    </row>
    <row r="6">
      <c r="A6" s="24" t="s">
        <v>13</v>
      </c>
      <c r="B6" s="25">
        <f t="shared" ref="B6:Z6" si="3">SUM(B7:B16)</f>
        <v>346428</v>
      </c>
      <c r="C6" s="25">
        <f t="shared" si="3"/>
        <v>344949</v>
      </c>
      <c r="D6" s="25">
        <f t="shared" si="3"/>
        <v>297717</v>
      </c>
      <c r="E6" s="25">
        <f t="shared" si="3"/>
        <v>277382</v>
      </c>
      <c r="F6" s="25">
        <f t="shared" si="3"/>
        <v>268005</v>
      </c>
      <c r="G6" s="21">
        <f t="shared" si="3"/>
        <v>242993</v>
      </c>
      <c r="H6" s="21">
        <f t="shared" si="3"/>
        <v>242993</v>
      </c>
      <c r="I6" s="21">
        <f t="shared" si="3"/>
        <v>237743</v>
      </c>
      <c r="J6" s="21">
        <f t="shared" si="3"/>
        <v>237469</v>
      </c>
      <c r="K6" s="21">
        <f t="shared" si="3"/>
        <v>180502</v>
      </c>
      <c r="L6" s="21">
        <f t="shared" si="3"/>
        <v>143446</v>
      </c>
      <c r="M6" s="21">
        <f t="shared" si="3"/>
        <v>129640</v>
      </c>
      <c r="N6" s="21">
        <f t="shared" si="3"/>
        <v>129640</v>
      </c>
      <c r="O6" s="21">
        <f t="shared" si="3"/>
        <v>129640</v>
      </c>
      <c r="P6" s="21">
        <f t="shared" si="3"/>
        <v>129640</v>
      </c>
      <c r="Q6" s="21">
        <f t="shared" si="3"/>
        <v>27035</v>
      </c>
      <c r="R6" s="21">
        <f t="shared" si="3"/>
        <v>27035</v>
      </c>
      <c r="S6" s="21">
        <f t="shared" si="3"/>
        <v>16787</v>
      </c>
      <c r="T6" s="21">
        <f t="shared" si="3"/>
        <v>16512</v>
      </c>
      <c r="U6" s="21">
        <f t="shared" si="3"/>
        <v>4063</v>
      </c>
      <c r="V6" s="21">
        <f t="shared" si="3"/>
        <v>4063</v>
      </c>
      <c r="W6" s="21">
        <f t="shared" si="3"/>
        <v>4063</v>
      </c>
      <c r="X6" s="21">
        <f t="shared" si="3"/>
        <v>4063</v>
      </c>
      <c r="Y6" s="21">
        <f t="shared" si="3"/>
        <v>257</v>
      </c>
      <c r="Z6" s="21">
        <f t="shared" si="3"/>
        <v>0</v>
      </c>
    </row>
    <row r="7">
      <c r="A7" s="26" t="s">
        <v>14</v>
      </c>
      <c r="B7" s="27">
        <v>18.0</v>
      </c>
      <c r="C7" s="28">
        <v>18.0</v>
      </c>
      <c r="D7" s="29">
        <v>18.0</v>
      </c>
      <c r="E7" s="29">
        <v>18.0</v>
      </c>
      <c r="F7" s="30">
        <v>18.0</v>
      </c>
      <c r="G7" s="30">
        <v>18.0</v>
      </c>
      <c r="H7" s="30">
        <v>18.0</v>
      </c>
      <c r="I7" s="30">
        <v>18.0</v>
      </c>
      <c r="J7" s="30">
        <v>18.0</v>
      </c>
      <c r="K7" s="30">
        <v>18.0</v>
      </c>
      <c r="L7" s="30">
        <v>18.0</v>
      </c>
      <c r="M7" s="30">
        <v>18.0</v>
      </c>
      <c r="N7" s="30">
        <v>18.0</v>
      </c>
      <c r="O7" s="30">
        <v>18.0</v>
      </c>
      <c r="P7" s="30">
        <v>18.0</v>
      </c>
      <c r="Q7" s="30">
        <v>18.0</v>
      </c>
      <c r="R7" s="30">
        <v>18.0</v>
      </c>
      <c r="S7" s="30">
        <v>18.0</v>
      </c>
      <c r="T7" s="30">
        <v>18.0</v>
      </c>
      <c r="U7" s="30">
        <v>18.0</v>
      </c>
      <c r="V7" s="30">
        <v>18.0</v>
      </c>
      <c r="W7" s="30">
        <v>18.0</v>
      </c>
      <c r="X7" s="30">
        <v>18.0</v>
      </c>
      <c r="Y7" s="30">
        <v>18.0</v>
      </c>
      <c r="Z7" s="30">
        <v>0.0</v>
      </c>
    </row>
    <row r="8">
      <c r="A8" s="26" t="s">
        <v>15</v>
      </c>
      <c r="B8" s="27">
        <v>16086.0</v>
      </c>
      <c r="C8" s="27">
        <v>16086.0</v>
      </c>
      <c r="D8" s="27">
        <v>16086.0</v>
      </c>
      <c r="E8" s="31">
        <v>1748.0</v>
      </c>
      <c r="F8" s="31">
        <v>1748.0</v>
      </c>
      <c r="G8" s="30">
        <v>399.0</v>
      </c>
      <c r="H8" s="30">
        <v>399.0</v>
      </c>
      <c r="I8" s="30">
        <v>399.0</v>
      </c>
      <c r="J8" s="30">
        <v>275.0</v>
      </c>
      <c r="K8" s="30">
        <v>275.0</v>
      </c>
      <c r="L8" s="30">
        <v>275.0</v>
      </c>
      <c r="M8" s="30">
        <v>275.0</v>
      </c>
      <c r="N8" s="30">
        <v>275.0</v>
      </c>
      <c r="O8" s="30">
        <v>275.0</v>
      </c>
      <c r="P8" s="30">
        <v>275.0</v>
      </c>
      <c r="Q8" s="30">
        <v>275.0</v>
      </c>
      <c r="R8" s="30">
        <v>275.0</v>
      </c>
      <c r="S8" s="30">
        <v>275.0</v>
      </c>
      <c r="T8" s="30">
        <v>0.0</v>
      </c>
      <c r="U8" s="30">
        <v>0.0</v>
      </c>
      <c r="V8" s="30">
        <v>0.0</v>
      </c>
      <c r="W8" s="30">
        <v>0.0</v>
      </c>
      <c r="X8" s="30">
        <v>0.0</v>
      </c>
      <c r="Y8" s="30">
        <v>0.0</v>
      </c>
      <c r="Z8" s="30">
        <v>0.0</v>
      </c>
    </row>
    <row r="9">
      <c r="A9" s="26" t="s">
        <v>16</v>
      </c>
      <c r="B9" s="27">
        <v>1172.0</v>
      </c>
      <c r="C9" s="29">
        <v>136.0</v>
      </c>
      <c r="D9" s="29">
        <v>98.0</v>
      </c>
      <c r="E9" s="30">
        <v>98.0</v>
      </c>
      <c r="F9" s="30">
        <v>98.0</v>
      </c>
      <c r="G9" s="30">
        <v>98.0</v>
      </c>
      <c r="H9" s="30">
        <v>98.0</v>
      </c>
      <c r="I9" s="30">
        <v>98.0</v>
      </c>
      <c r="J9" s="30">
        <v>98.0</v>
      </c>
      <c r="K9" s="30">
        <v>98.0</v>
      </c>
      <c r="L9" s="30">
        <v>98.0</v>
      </c>
      <c r="M9" s="30">
        <v>0.0</v>
      </c>
      <c r="N9" s="30">
        <v>0.0</v>
      </c>
      <c r="O9" s="30">
        <v>0.0</v>
      </c>
      <c r="P9" s="30">
        <v>0.0</v>
      </c>
      <c r="Q9" s="30">
        <v>0.0</v>
      </c>
      <c r="R9" s="30">
        <v>0.0</v>
      </c>
      <c r="S9" s="30">
        <v>0.0</v>
      </c>
      <c r="T9" s="30">
        <v>0.0</v>
      </c>
      <c r="U9" s="30">
        <v>0.0</v>
      </c>
      <c r="V9" s="30">
        <v>0.0</v>
      </c>
      <c r="W9" s="30">
        <v>0.0</v>
      </c>
      <c r="X9" s="30">
        <v>0.0</v>
      </c>
      <c r="Y9" s="30">
        <v>0.0</v>
      </c>
      <c r="Z9" s="30">
        <v>0.0</v>
      </c>
    </row>
    <row r="10">
      <c r="A10" s="26" t="s">
        <v>17</v>
      </c>
      <c r="B10" s="27">
        <v>703.0</v>
      </c>
      <c r="C10" s="29">
        <v>260.0</v>
      </c>
      <c r="D10" s="29">
        <v>193.0</v>
      </c>
      <c r="E10" s="30">
        <v>185.0</v>
      </c>
      <c r="F10" s="30">
        <v>161.0</v>
      </c>
      <c r="G10" s="30">
        <v>150.0</v>
      </c>
      <c r="H10" s="30">
        <v>150.0</v>
      </c>
      <c r="I10" s="30">
        <v>150.0</v>
      </c>
      <c r="J10" s="30">
        <v>0.0</v>
      </c>
      <c r="K10" s="30">
        <v>0.0</v>
      </c>
      <c r="L10" s="30">
        <v>0.0</v>
      </c>
      <c r="M10" s="30">
        <v>0.0</v>
      </c>
      <c r="N10" s="30">
        <v>0.0</v>
      </c>
      <c r="O10" s="30">
        <v>0.0</v>
      </c>
      <c r="P10" s="30">
        <v>0.0</v>
      </c>
      <c r="Q10" s="30">
        <v>0.0</v>
      </c>
      <c r="R10" s="30">
        <v>0.0</v>
      </c>
      <c r="S10" s="30">
        <v>0.0</v>
      </c>
      <c r="T10" s="30">
        <v>0.0</v>
      </c>
      <c r="U10" s="30">
        <v>0.0</v>
      </c>
      <c r="V10" s="30">
        <v>0.0</v>
      </c>
      <c r="W10" s="30">
        <v>0.0</v>
      </c>
      <c r="X10" s="30">
        <v>0.0</v>
      </c>
      <c r="Y10" s="30">
        <v>0.0</v>
      </c>
      <c r="Z10" s="30">
        <v>0.0</v>
      </c>
    </row>
    <row r="11">
      <c r="A11" s="26" t="s">
        <v>18</v>
      </c>
      <c r="B11" s="27">
        <v>18478.0</v>
      </c>
      <c r="C11" s="27">
        <v>18478.0</v>
      </c>
      <c r="D11" s="27">
        <v>18478.0</v>
      </c>
      <c r="E11" s="31">
        <v>12489.0</v>
      </c>
      <c r="F11" s="31">
        <v>12489.0</v>
      </c>
      <c r="G11" s="31">
        <v>12489.0</v>
      </c>
      <c r="H11" s="31">
        <v>12489.0</v>
      </c>
      <c r="I11" s="31">
        <v>7239.0</v>
      </c>
      <c r="J11" s="31">
        <v>7239.0</v>
      </c>
      <c r="K11" s="31">
        <v>7239.0</v>
      </c>
      <c r="L11" s="30">
        <v>989.0</v>
      </c>
      <c r="M11" s="30">
        <v>989.0</v>
      </c>
      <c r="N11" s="30">
        <v>989.0</v>
      </c>
      <c r="O11" s="30">
        <v>989.0</v>
      </c>
      <c r="P11" s="30">
        <v>989.0</v>
      </c>
      <c r="Q11" s="30">
        <v>394.0</v>
      </c>
      <c r="R11" s="30">
        <v>394.0</v>
      </c>
      <c r="S11" s="30">
        <v>394.0</v>
      </c>
      <c r="T11" s="30">
        <v>394.0</v>
      </c>
      <c r="U11" s="30">
        <v>0.0</v>
      </c>
      <c r="V11" s="30">
        <v>0.0</v>
      </c>
      <c r="W11" s="30">
        <v>0.0</v>
      </c>
      <c r="X11" s="30">
        <v>0.0</v>
      </c>
      <c r="Y11" s="30">
        <v>0.0</v>
      </c>
      <c r="Z11" s="30">
        <v>0.0</v>
      </c>
    </row>
    <row r="12">
      <c r="A12" s="26" t="s">
        <v>19</v>
      </c>
      <c r="B12" s="27">
        <v>105900.0</v>
      </c>
      <c r="C12" s="27">
        <v>105900.0</v>
      </c>
      <c r="D12" s="32">
        <v>105400.0</v>
      </c>
      <c r="E12" s="32">
        <v>105400.0</v>
      </c>
      <c r="F12" s="32">
        <v>105400.0</v>
      </c>
      <c r="G12" s="31">
        <v>82200.0</v>
      </c>
      <c r="H12" s="31">
        <v>82200.0</v>
      </c>
      <c r="I12" s="31">
        <v>82200.0</v>
      </c>
      <c r="J12" s="31">
        <v>82200.0</v>
      </c>
      <c r="K12" s="31">
        <v>82200.0</v>
      </c>
      <c r="L12" s="31">
        <v>51400.0</v>
      </c>
      <c r="M12" s="31">
        <v>38910.0</v>
      </c>
      <c r="N12" s="31">
        <v>38910.0</v>
      </c>
      <c r="O12" s="31">
        <v>38910.0</v>
      </c>
      <c r="P12" s="31">
        <v>38910.0</v>
      </c>
      <c r="Q12" s="31">
        <v>13900.0</v>
      </c>
      <c r="R12" s="31">
        <v>13900.0</v>
      </c>
      <c r="S12" s="31">
        <v>4100.0</v>
      </c>
      <c r="T12" s="31">
        <v>4100.0</v>
      </c>
      <c r="U12" s="31">
        <v>1945.0</v>
      </c>
      <c r="V12" s="31">
        <v>1945.0</v>
      </c>
      <c r="W12" s="31">
        <v>1945.0</v>
      </c>
      <c r="X12" s="31">
        <v>1945.0</v>
      </c>
      <c r="Y12" s="30">
        <v>239.0</v>
      </c>
      <c r="Z12" s="30">
        <v>0.0</v>
      </c>
    </row>
    <row r="13">
      <c r="A13" s="26" t="s">
        <v>20</v>
      </c>
      <c r="B13" s="27">
        <v>973.0</v>
      </c>
      <c r="C13" s="29">
        <v>973.0</v>
      </c>
      <c r="D13" s="29">
        <v>973.0</v>
      </c>
      <c r="E13" s="29">
        <v>973.0</v>
      </c>
      <c r="F13" s="30">
        <v>973.0</v>
      </c>
      <c r="G13" s="30">
        <v>973.0</v>
      </c>
      <c r="H13" s="30">
        <v>973.0</v>
      </c>
      <c r="I13" s="30">
        <v>973.0</v>
      </c>
      <c r="J13" s="30">
        <v>973.0</v>
      </c>
      <c r="K13" s="30">
        <v>6.0</v>
      </c>
      <c r="L13" s="30">
        <v>0.0</v>
      </c>
      <c r="M13" s="30">
        <v>0.0</v>
      </c>
      <c r="N13" s="30">
        <v>0.0</v>
      </c>
      <c r="O13" s="30">
        <v>0.0</v>
      </c>
      <c r="P13" s="30">
        <v>0.0</v>
      </c>
      <c r="Q13" s="30">
        <v>0.0</v>
      </c>
      <c r="R13" s="30">
        <v>0.0</v>
      </c>
      <c r="S13" s="30">
        <v>0.0</v>
      </c>
      <c r="T13" s="30">
        <v>0.0</v>
      </c>
      <c r="U13" s="30">
        <v>0.0</v>
      </c>
      <c r="V13" s="30">
        <v>0.0</v>
      </c>
      <c r="W13" s="30">
        <v>0.0</v>
      </c>
      <c r="X13" s="30">
        <v>0.0</v>
      </c>
      <c r="Y13" s="30">
        <v>0.0</v>
      </c>
      <c r="Z13" s="30">
        <v>0.0</v>
      </c>
    </row>
    <row r="14">
      <c r="A14" s="26" t="s">
        <v>21</v>
      </c>
      <c r="B14" s="27">
        <v>192079.0</v>
      </c>
      <c r="C14" s="27">
        <v>192079.0</v>
      </c>
      <c r="D14" s="32">
        <v>145452.0</v>
      </c>
      <c r="E14" s="32">
        <v>145452.0</v>
      </c>
      <c r="F14" s="32">
        <v>145452.0</v>
      </c>
      <c r="G14" s="33">
        <v>145000.0</v>
      </c>
      <c r="H14" s="33">
        <v>145000.0</v>
      </c>
      <c r="I14" s="33">
        <v>145000.0</v>
      </c>
      <c r="J14" s="33">
        <v>145000.0</v>
      </c>
      <c r="K14" s="31">
        <v>89000.0</v>
      </c>
      <c r="L14" s="31">
        <v>89000.0</v>
      </c>
      <c r="M14" s="31">
        <v>89000.0</v>
      </c>
      <c r="N14" s="31">
        <v>89000.0</v>
      </c>
      <c r="O14" s="31">
        <v>89000.0</v>
      </c>
      <c r="P14" s="31">
        <v>89000.0</v>
      </c>
      <c r="Q14" s="31">
        <v>12000.0</v>
      </c>
      <c r="R14" s="31">
        <v>12000.0</v>
      </c>
      <c r="S14" s="31">
        <v>12000.0</v>
      </c>
      <c r="T14" s="31">
        <v>12000.0</v>
      </c>
      <c r="U14" s="31">
        <v>2100.0</v>
      </c>
      <c r="V14" s="31">
        <v>2100.0</v>
      </c>
      <c r="W14" s="31">
        <v>2100.0</v>
      </c>
      <c r="X14" s="31">
        <v>2100.0</v>
      </c>
      <c r="Y14" s="30">
        <v>0.0</v>
      </c>
      <c r="Z14" s="30">
        <v>0.0</v>
      </c>
    </row>
    <row r="15">
      <c r="A15" s="26" t="s">
        <v>22</v>
      </c>
      <c r="B15" s="27">
        <v>0.0</v>
      </c>
      <c r="C15" s="29">
        <v>0.0</v>
      </c>
      <c r="D15" s="29">
        <v>0.0</v>
      </c>
      <c r="E15" s="30">
        <v>0.0</v>
      </c>
      <c r="F15" s="30">
        <v>0.0</v>
      </c>
      <c r="G15" s="30">
        <v>0.0</v>
      </c>
      <c r="H15" s="30">
        <v>0.0</v>
      </c>
      <c r="I15" s="30">
        <v>0.0</v>
      </c>
      <c r="J15" s="30">
        <v>0.0</v>
      </c>
      <c r="K15" s="30">
        <v>0.0</v>
      </c>
      <c r="L15" s="30">
        <v>0.0</v>
      </c>
      <c r="M15" s="30">
        <v>0.0</v>
      </c>
      <c r="N15" s="30">
        <v>0.0</v>
      </c>
      <c r="O15" s="30">
        <v>0.0</v>
      </c>
      <c r="P15" s="30">
        <v>0.0</v>
      </c>
      <c r="Q15" s="30">
        <v>0.0</v>
      </c>
      <c r="R15" s="30">
        <v>0.0</v>
      </c>
      <c r="S15" s="30">
        <v>0.0</v>
      </c>
      <c r="T15" s="30">
        <v>0.0</v>
      </c>
      <c r="U15" s="30">
        <v>0.0</v>
      </c>
      <c r="V15" s="30">
        <v>0.0</v>
      </c>
      <c r="W15" s="30">
        <v>0.0</v>
      </c>
      <c r="X15" s="30">
        <v>0.0</v>
      </c>
      <c r="Y15" s="30">
        <v>0.0</v>
      </c>
      <c r="Z15" s="30">
        <v>0.0</v>
      </c>
    </row>
    <row r="16">
      <c r="A16" s="26" t="s">
        <v>23</v>
      </c>
      <c r="B16" s="27">
        <v>11019.0</v>
      </c>
      <c r="C16" s="27">
        <v>11019.0</v>
      </c>
      <c r="D16" s="27">
        <v>11019.0</v>
      </c>
      <c r="E16" s="27">
        <v>11019.0</v>
      </c>
      <c r="F16" s="31">
        <v>1666.0</v>
      </c>
      <c r="G16" s="31">
        <v>1666.0</v>
      </c>
      <c r="H16" s="31">
        <v>1666.0</v>
      </c>
      <c r="I16" s="31">
        <v>1666.0</v>
      </c>
      <c r="J16" s="31">
        <v>1666.0</v>
      </c>
      <c r="K16" s="31">
        <v>1666.0</v>
      </c>
      <c r="L16" s="31">
        <v>1666.0</v>
      </c>
      <c r="M16" s="30">
        <v>448.0</v>
      </c>
      <c r="N16" s="30">
        <v>448.0</v>
      </c>
      <c r="O16" s="30">
        <v>448.0</v>
      </c>
      <c r="P16" s="30">
        <v>448.0</v>
      </c>
      <c r="Q16" s="30">
        <v>448.0</v>
      </c>
      <c r="R16" s="30">
        <v>448.0</v>
      </c>
      <c r="S16" s="30">
        <v>0.0</v>
      </c>
      <c r="T16" s="30">
        <v>0.0</v>
      </c>
      <c r="U16" s="30">
        <v>0.0</v>
      </c>
      <c r="V16" s="30">
        <v>0.0</v>
      </c>
      <c r="W16" s="30">
        <v>0.0</v>
      </c>
      <c r="X16" s="30">
        <v>0.0</v>
      </c>
      <c r="Y16" s="30">
        <v>0.0</v>
      </c>
      <c r="Z16" s="30">
        <v>0.0</v>
      </c>
    </row>
    <row r="17" ht="37.5" customHeight="1">
      <c r="A17" s="34"/>
    </row>
    <row r="18">
      <c r="A18" s="35" t="s">
        <v>24</v>
      </c>
      <c r="B18" s="36" t="s">
        <v>25</v>
      </c>
      <c r="P18" s="36"/>
      <c r="Q18" s="36"/>
      <c r="R18" s="36"/>
      <c r="S18" s="36"/>
      <c r="T18" s="36"/>
      <c r="U18" s="36"/>
      <c r="V18" s="36"/>
      <c r="W18" s="36"/>
    </row>
    <row r="20">
      <c r="A20" s="30" t="s">
        <v>26</v>
      </c>
    </row>
    <row r="22">
      <c r="A22" s="37" t="s">
        <v>27</v>
      </c>
    </row>
    <row r="23" ht="15.75" customHeight="1"/>
    <row r="24" ht="15.75" customHeight="1">
      <c r="A24" s="37" t="s">
        <v>28</v>
      </c>
    </row>
    <row r="25" ht="15.75" customHeight="1">
      <c r="A25" s="37" t="s">
        <v>29</v>
      </c>
    </row>
    <row r="26" ht="15.75" customHeight="1">
      <c r="A26" s="37" t="s">
        <v>30</v>
      </c>
      <c r="S26" s="38"/>
      <c r="T26" s="38"/>
      <c r="U26" s="38"/>
      <c r="V26" s="38"/>
      <c r="W26" s="38"/>
      <c r="X26" s="38"/>
      <c r="Y26" s="38"/>
      <c r="Z26" s="38"/>
      <c r="AA26" s="38"/>
    </row>
    <row r="27" ht="15.75" customHeight="1">
      <c r="A27" s="37" t="s">
        <v>31</v>
      </c>
      <c r="O27" s="38"/>
      <c r="P27" s="38"/>
      <c r="Q27" s="38"/>
      <c r="R27" s="38"/>
      <c r="S27" s="38"/>
      <c r="T27" s="38"/>
      <c r="U27" s="38"/>
      <c r="V27" s="38"/>
      <c r="W27" s="38"/>
      <c r="X27" s="38"/>
      <c r="Y27" s="38"/>
      <c r="Z27" s="38"/>
      <c r="AA27" s="38"/>
    </row>
    <row r="28" ht="15.75" customHeight="1">
      <c r="A28" s="37" t="s">
        <v>32</v>
      </c>
    </row>
    <row r="29" ht="15.75" customHeight="1">
      <c r="A29" s="37" t="s">
        <v>33</v>
      </c>
    </row>
    <row r="30" ht="15.75" customHeight="1">
      <c r="A30" s="37" t="s">
        <v>34</v>
      </c>
      <c r="Q30" s="38"/>
      <c r="R30" s="38"/>
      <c r="S30" s="38"/>
      <c r="T30" s="38"/>
      <c r="U30" s="38"/>
      <c r="V30" s="38"/>
      <c r="W30" s="38"/>
      <c r="X30" s="38"/>
      <c r="Y30" s="38"/>
      <c r="Z30" s="38"/>
      <c r="AA30" s="38"/>
    </row>
    <row r="31" ht="15.75" customHeight="1">
      <c r="A31" s="37" t="s">
        <v>35</v>
      </c>
      <c r="N31" s="38"/>
      <c r="O31" s="38"/>
      <c r="P31" s="38"/>
      <c r="Q31" s="38"/>
      <c r="R31" s="38"/>
      <c r="S31" s="38"/>
      <c r="T31" s="38"/>
      <c r="U31" s="38"/>
      <c r="V31" s="38"/>
      <c r="W31" s="38"/>
      <c r="X31" s="38"/>
      <c r="Y31" s="38"/>
      <c r="Z31" s="38"/>
      <c r="AA31" s="38"/>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sheetData>
  <mergeCells count="11">
    <mergeCell ref="A29:K29"/>
    <mergeCell ref="A30:P30"/>
    <mergeCell ref="A31:M31"/>
    <mergeCell ref="B18:O18"/>
    <mergeCell ref="A22:S22"/>
    <mergeCell ref="A24:M24"/>
    <mergeCell ref="A25:R25"/>
    <mergeCell ref="A26:R26"/>
    <mergeCell ref="A27:N27"/>
    <mergeCell ref="A28:R28"/>
    <mergeCell ref="A20:F20"/>
  </mergeCells>
  <hyperlinks>
    <hyperlink r:id="rId1" ref="B18"/>
    <hyperlink r:id="rId2" ref="A22"/>
    <hyperlink r:id="rId3" ref="A24"/>
    <hyperlink r:id="rId4" ref="A25"/>
    <hyperlink r:id="rId5" ref="A26"/>
    <hyperlink r:id="rId6" ref="A27"/>
    <hyperlink r:id="rId7" ref="A28"/>
    <hyperlink r:id="rId8" ref="A29"/>
    <hyperlink r:id="rId9" ref="A30"/>
    <hyperlink r:id="rId10" ref="A31"/>
  </hyperlinks>
  <printOptions/>
  <pageMargins bottom="0.75" footer="0.0" header="0.0" left="0.7" right="0.7" top="0.75"/>
  <pageSetup orientation="landscape"/>
  <drawing r:id="rId1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43"/>
    <col customWidth="1" min="2" max="6" width="8.71"/>
    <col customWidth="1" min="7" max="7" width="9.57"/>
    <col customWidth="1" min="8" max="26" width="8.71"/>
  </cols>
  <sheetData>
    <row r="1">
      <c r="A1" s="1" t="s">
        <v>36</v>
      </c>
      <c r="B1" s="2">
        <v>44879.0</v>
      </c>
      <c r="C1" s="3">
        <v>44880.0</v>
      </c>
      <c r="D1" s="3">
        <v>44881.0</v>
      </c>
      <c r="E1" s="3">
        <v>44882.0</v>
      </c>
      <c r="F1" s="3">
        <v>44883.0</v>
      </c>
      <c r="G1" s="6" t="s">
        <v>37</v>
      </c>
      <c r="H1" s="5">
        <v>44886.0</v>
      </c>
      <c r="I1" s="6" t="s">
        <v>38</v>
      </c>
      <c r="J1" s="39">
        <v>44887.0</v>
      </c>
      <c r="K1" s="6" t="s">
        <v>39</v>
      </c>
      <c r="L1" s="5">
        <v>44888.0</v>
      </c>
      <c r="M1" s="5">
        <v>44889.0</v>
      </c>
      <c r="N1" s="5">
        <v>44893.0</v>
      </c>
      <c r="O1" s="40" t="s">
        <v>40</v>
      </c>
      <c r="P1" s="5">
        <v>44894.0</v>
      </c>
      <c r="Q1" s="6" t="s">
        <v>41</v>
      </c>
      <c r="R1" s="6" t="s">
        <v>42</v>
      </c>
      <c r="S1" s="7">
        <v>44896.0</v>
      </c>
      <c r="T1" s="7">
        <v>44897.0</v>
      </c>
      <c r="U1" s="6" t="s">
        <v>43</v>
      </c>
      <c r="V1" s="6" t="s">
        <v>44</v>
      </c>
      <c r="W1" s="7">
        <v>44904.0</v>
      </c>
      <c r="X1" s="41"/>
      <c r="Y1" s="41"/>
      <c r="Z1" s="41"/>
    </row>
    <row r="2">
      <c r="A2" s="9" t="s">
        <v>45</v>
      </c>
      <c r="B2" s="10">
        <v>39697.0</v>
      </c>
      <c r="C2" s="11">
        <v>50442.0</v>
      </c>
      <c r="D2" s="11">
        <v>55921.0</v>
      </c>
      <c r="E2" s="12">
        <v>60084.0</v>
      </c>
      <c r="F2" s="12">
        <v>62529.0</v>
      </c>
      <c r="G2" s="12">
        <v>63539.0</v>
      </c>
      <c r="H2" s="12">
        <v>63539.0</v>
      </c>
      <c r="I2" s="12">
        <v>63539.0</v>
      </c>
      <c r="J2" s="12">
        <v>63539.0</v>
      </c>
      <c r="K2" s="12">
        <v>64448.0</v>
      </c>
      <c r="L2" s="12">
        <v>66360.0</v>
      </c>
      <c r="M2" s="12">
        <v>66808.0</v>
      </c>
      <c r="N2" s="12">
        <v>66808.0</v>
      </c>
      <c r="O2" s="12">
        <v>66808.0</v>
      </c>
      <c r="P2" s="12">
        <v>66808.0</v>
      </c>
      <c r="Q2" s="12">
        <v>66808.0</v>
      </c>
      <c r="R2" s="12">
        <v>66871.0</v>
      </c>
      <c r="S2" s="12">
        <v>66871.0</v>
      </c>
      <c r="T2" s="12">
        <v>66884.0</v>
      </c>
      <c r="U2" s="12">
        <v>66884.0</v>
      </c>
      <c r="V2" s="12">
        <v>67041.0</v>
      </c>
      <c r="W2" s="12">
        <v>67060.0</v>
      </c>
      <c r="X2" s="42"/>
      <c r="Y2" s="42"/>
      <c r="Z2" s="42"/>
    </row>
    <row r="3">
      <c r="A3" s="14" t="s">
        <v>46</v>
      </c>
      <c r="B3" s="15">
        <v>39613.0</v>
      </c>
      <c r="C3" s="16">
        <v>51203.0</v>
      </c>
      <c r="D3" s="16">
        <v>56521.0</v>
      </c>
      <c r="E3" s="17">
        <v>59121.0</v>
      </c>
      <c r="F3" s="17">
        <v>61702.0</v>
      </c>
      <c r="G3" s="17">
        <v>62674.0</v>
      </c>
      <c r="H3" s="17">
        <v>62674.0</v>
      </c>
      <c r="I3" s="17">
        <v>62674.0</v>
      </c>
      <c r="J3" s="17">
        <v>62674.0</v>
      </c>
      <c r="K3" s="17">
        <v>63596.0</v>
      </c>
      <c r="L3" s="17">
        <v>65660.0</v>
      </c>
      <c r="M3" s="17">
        <v>66215.0</v>
      </c>
      <c r="N3" s="17">
        <v>66215.0</v>
      </c>
      <c r="O3" s="17">
        <v>66215.0</v>
      </c>
      <c r="P3" s="17">
        <v>66215.0</v>
      </c>
      <c r="Q3" s="17">
        <v>66215.0</v>
      </c>
      <c r="R3" s="17">
        <v>66272.0</v>
      </c>
      <c r="S3" s="17">
        <v>66272.0</v>
      </c>
      <c r="T3" s="17">
        <v>66300.0</v>
      </c>
      <c r="U3" s="17">
        <v>66300.0</v>
      </c>
      <c r="V3" s="17">
        <v>66476.0</v>
      </c>
      <c r="W3" s="17">
        <v>66496.0</v>
      </c>
      <c r="X3" s="43"/>
      <c r="Y3" s="43"/>
      <c r="Z3" s="43"/>
    </row>
    <row r="4">
      <c r="A4" s="20" t="s">
        <v>11</v>
      </c>
      <c r="B4" s="21">
        <f>B2-B3</f>
        <v>84</v>
      </c>
      <c r="C4" s="32">
        <f t="shared" ref="C4:D4" si="1">C3-C2</f>
        <v>761</v>
      </c>
      <c r="D4" s="32">
        <f t="shared" si="1"/>
        <v>600</v>
      </c>
      <c r="E4" s="32">
        <f t="shared" ref="E4:W4" si="2">E2-E3</f>
        <v>963</v>
      </c>
      <c r="F4" s="32">
        <f t="shared" si="2"/>
        <v>827</v>
      </c>
      <c r="G4" s="32">
        <f t="shared" si="2"/>
        <v>865</v>
      </c>
      <c r="H4" s="32">
        <f t="shared" si="2"/>
        <v>865</v>
      </c>
      <c r="I4" s="32">
        <f t="shared" si="2"/>
        <v>865</v>
      </c>
      <c r="J4" s="32">
        <f t="shared" si="2"/>
        <v>865</v>
      </c>
      <c r="K4" s="32">
        <f t="shared" si="2"/>
        <v>852</v>
      </c>
      <c r="L4" s="32">
        <f t="shared" si="2"/>
        <v>700</v>
      </c>
      <c r="M4" s="32">
        <f t="shared" si="2"/>
        <v>593</v>
      </c>
      <c r="N4" s="32">
        <f t="shared" si="2"/>
        <v>593</v>
      </c>
      <c r="O4" s="32">
        <f t="shared" si="2"/>
        <v>593</v>
      </c>
      <c r="P4" s="32">
        <f t="shared" si="2"/>
        <v>593</v>
      </c>
      <c r="Q4" s="32">
        <f t="shared" si="2"/>
        <v>593</v>
      </c>
      <c r="R4" s="32">
        <f t="shared" si="2"/>
        <v>599</v>
      </c>
      <c r="S4" s="32">
        <f t="shared" si="2"/>
        <v>599</v>
      </c>
      <c r="T4" s="32">
        <f t="shared" si="2"/>
        <v>584</v>
      </c>
      <c r="U4" s="32">
        <f t="shared" si="2"/>
        <v>584</v>
      </c>
      <c r="V4" s="32">
        <f t="shared" si="2"/>
        <v>565</v>
      </c>
      <c r="W4" s="32">
        <f t="shared" si="2"/>
        <v>564</v>
      </c>
    </row>
    <row r="5">
      <c r="A5" s="20" t="s">
        <v>12</v>
      </c>
      <c r="B5" s="23">
        <f t="shared" ref="B5:W5" si="3">B4/sum(B2:B3)</f>
        <v>0.00105913504</v>
      </c>
      <c r="C5" s="23">
        <f t="shared" si="3"/>
        <v>0.007486841458</v>
      </c>
      <c r="D5" s="23">
        <f t="shared" si="3"/>
        <v>0.005336084381</v>
      </c>
      <c r="E5" s="23">
        <f t="shared" si="3"/>
        <v>0.008078520196</v>
      </c>
      <c r="F5" s="23">
        <f t="shared" si="3"/>
        <v>0.006656953578</v>
      </c>
      <c r="G5" s="23">
        <f t="shared" si="3"/>
        <v>0.006853493697</v>
      </c>
      <c r="H5" s="23">
        <f t="shared" si="3"/>
        <v>0.006853493697</v>
      </c>
      <c r="I5" s="23">
        <f t="shared" si="3"/>
        <v>0.006853493697</v>
      </c>
      <c r="J5" s="23">
        <f t="shared" si="3"/>
        <v>0.006853493697</v>
      </c>
      <c r="K5" s="23">
        <f t="shared" si="3"/>
        <v>0.0066539627</v>
      </c>
      <c r="L5" s="23">
        <f t="shared" si="3"/>
        <v>0.005302226935</v>
      </c>
      <c r="M5" s="23">
        <f t="shared" si="3"/>
        <v>0.004457875706</v>
      </c>
      <c r="N5" s="23">
        <f t="shared" si="3"/>
        <v>0.004457875706</v>
      </c>
      <c r="O5" s="23">
        <f t="shared" si="3"/>
        <v>0.004457875706</v>
      </c>
      <c r="P5" s="23">
        <f t="shared" si="3"/>
        <v>0.004457875706</v>
      </c>
      <c r="Q5" s="23">
        <f t="shared" si="3"/>
        <v>0.004457875706</v>
      </c>
      <c r="R5" s="23">
        <f t="shared" si="3"/>
        <v>0.004498922211</v>
      </c>
      <c r="S5" s="23">
        <f t="shared" si="3"/>
        <v>0.004498922211</v>
      </c>
      <c r="T5" s="23">
        <f t="shared" si="3"/>
        <v>0.0043849111</v>
      </c>
      <c r="U5" s="23">
        <f t="shared" si="3"/>
        <v>0.0043849111</v>
      </c>
      <c r="V5" s="23">
        <f t="shared" si="3"/>
        <v>0.004231670873</v>
      </c>
      <c r="W5" s="23">
        <f t="shared" si="3"/>
        <v>0.004222947677</v>
      </c>
    </row>
    <row r="6">
      <c r="A6" s="24" t="s">
        <v>47</v>
      </c>
      <c r="B6" s="21">
        <f t="shared" ref="B6:W6" si="4">sum(B2:B3)</f>
        <v>79310</v>
      </c>
      <c r="C6" s="21">
        <f t="shared" si="4"/>
        <v>101645</v>
      </c>
      <c r="D6" s="21">
        <f t="shared" si="4"/>
        <v>112442</v>
      </c>
      <c r="E6" s="21">
        <f t="shared" si="4"/>
        <v>119205</v>
      </c>
      <c r="F6" s="21">
        <f t="shared" si="4"/>
        <v>124231</v>
      </c>
      <c r="G6" s="21">
        <f t="shared" si="4"/>
        <v>126213</v>
      </c>
      <c r="H6" s="21">
        <f t="shared" si="4"/>
        <v>126213</v>
      </c>
      <c r="I6" s="21">
        <f t="shared" si="4"/>
        <v>126213</v>
      </c>
      <c r="J6" s="21">
        <f t="shared" si="4"/>
        <v>126213</v>
      </c>
      <c r="K6" s="21">
        <f t="shared" si="4"/>
        <v>128044</v>
      </c>
      <c r="L6" s="21">
        <f t="shared" si="4"/>
        <v>132020</v>
      </c>
      <c r="M6" s="21">
        <f t="shared" si="4"/>
        <v>133023</v>
      </c>
      <c r="N6" s="21">
        <f t="shared" si="4"/>
        <v>133023</v>
      </c>
      <c r="O6" s="21">
        <f t="shared" si="4"/>
        <v>133023</v>
      </c>
      <c r="P6" s="21">
        <f t="shared" si="4"/>
        <v>133023</v>
      </c>
      <c r="Q6" s="21">
        <f t="shared" si="4"/>
        <v>133023</v>
      </c>
      <c r="R6" s="21">
        <f t="shared" si="4"/>
        <v>133143</v>
      </c>
      <c r="S6" s="21">
        <f t="shared" si="4"/>
        <v>133143</v>
      </c>
      <c r="T6" s="21">
        <f t="shared" si="4"/>
        <v>133184</v>
      </c>
      <c r="U6" s="21">
        <f t="shared" si="4"/>
        <v>133184</v>
      </c>
      <c r="V6" s="21">
        <f t="shared" si="4"/>
        <v>133517</v>
      </c>
      <c r="W6" s="21">
        <f t="shared" si="4"/>
        <v>133556</v>
      </c>
    </row>
    <row r="7">
      <c r="A7" s="24" t="s">
        <v>13</v>
      </c>
      <c r="B7" s="25">
        <f t="shared" ref="B7:U7" si="5">SUM(B8:B12)</f>
        <v>237007</v>
      </c>
      <c r="C7" s="25">
        <f t="shared" si="5"/>
        <v>237007</v>
      </c>
      <c r="D7" s="25">
        <f t="shared" si="5"/>
        <v>159072</v>
      </c>
      <c r="E7" s="25">
        <f t="shared" si="5"/>
        <v>84766</v>
      </c>
      <c r="F7" s="25">
        <f t="shared" si="5"/>
        <v>84766</v>
      </c>
      <c r="G7" s="21">
        <f t="shared" si="5"/>
        <v>64752</v>
      </c>
      <c r="H7" s="21">
        <f t="shared" si="5"/>
        <v>64752</v>
      </c>
      <c r="I7" s="21">
        <f t="shared" si="5"/>
        <v>64752</v>
      </c>
      <c r="J7" s="21">
        <f t="shared" si="5"/>
        <v>64752</v>
      </c>
      <c r="K7" s="21">
        <f t="shared" si="5"/>
        <v>39692</v>
      </c>
      <c r="L7" s="21">
        <f t="shared" si="5"/>
        <v>21792</v>
      </c>
      <c r="M7" s="21">
        <f t="shared" si="5"/>
        <v>6370</v>
      </c>
      <c r="N7" s="21">
        <f t="shared" si="5"/>
        <v>6370</v>
      </c>
      <c r="O7" s="21">
        <f t="shared" si="5"/>
        <v>6370</v>
      </c>
      <c r="P7" s="21">
        <f t="shared" si="5"/>
        <v>6370</v>
      </c>
      <c r="Q7" s="21">
        <f t="shared" si="5"/>
        <v>6370</v>
      </c>
      <c r="R7" s="21">
        <f t="shared" si="5"/>
        <v>3972</v>
      </c>
      <c r="S7" s="21">
        <f t="shared" si="5"/>
        <v>3972</v>
      </c>
      <c r="T7" s="21">
        <f t="shared" si="5"/>
        <v>3972</v>
      </c>
      <c r="U7" s="21">
        <f t="shared" si="5"/>
        <v>0</v>
      </c>
      <c r="V7" s="30">
        <v>0.0</v>
      </c>
      <c r="W7" s="30">
        <v>0.0</v>
      </c>
    </row>
    <row r="8">
      <c r="A8" s="26" t="s">
        <v>48</v>
      </c>
      <c r="B8" s="27">
        <v>76700.0</v>
      </c>
      <c r="C8" s="27">
        <v>76700.0</v>
      </c>
      <c r="D8" s="27">
        <v>76700.0</v>
      </c>
      <c r="E8" s="44">
        <v>22200.0</v>
      </c>
      <c r="F8" s="44">
        <v>22200.0</v>
      </c>
      <c r="G8" s="31">
        <v>2600.0</v>
      </c>
      <c r="H8" s="31">
        <v>2600.0</v>
      </c>
      <c r="I8" s="31">
        <v>2600.0</v>
      </c>
      <c r="J8" s="31">
        <v>2600.0</v>
      </c>
      <c r="K8" s="31">
        <v>2600.0</v>
      </c>
      <c r="L8" s="31">
        <v>2600.0</v>
      </c>
      <c r="M8" s="31">
        <v>2600.0</v>
      </c>
      <c r="N8" s="31">
        <v>2600.0</v>
      </c>
      <c r="O8" s="31">
        <v>2600.0</v>
      </c>
      <c r="P8" s="31">
        <v>2600.0</v>
      </c>
      <c r="Q8" s="31">
        <v>2600.0</v>
      </c>
      <c r="R8" s="31">
        <v>2600.0</v>
      </c>
      <c r="S8" s="31">
        <v>2600.0</v>
      </c>
      <c r="T8" s="31">
        <v>2600.0</v>
      </c>
      <c r="U8" s="30">
        <v>0.0</v>
      </c>
      <c r="V8" s="30">
        <v>0.0</v>
      </c>
      <c r="W8" s="30">
        <v>0.0</v>
      </c>
    </row>
    <row r="9">
      <c r="A9" s="26" t="s">
        <v>49</v>
      </c>
      <c r="B9" s="27">
        <v>11757.0</v>
      </c>
      <c r="C9" s="27">
        <v>11757.0</v>
      </c>
      <c r="D9" s="27">
        <v>11757.0</v>
      </c>
      <c r="E9" s="30">
        <v>614.0</v>
      </c>
      <c r="F9" s="30">
        <v>614.0</v>
      </c>
      <c r="G9" s="30">
        <v>200.0</v>
      </c>
      <c r="H9" s="30">
        <v>200.0</v>
      </c>
      <c r="I9" s="30">
        <v>200.0</v>
      </c>
      <c r="J9" s="30">
        <v>200.0</v>
      </c>
      <c r="K9" s="30">
        <v>200.0</v>
      </c>
      <c r="L9" s="30">
        <v>200.0</v>
      </c>
      <c r="M9" s="30">
        <v>0.0</v>
      </c>
      <c r="N9" s="30">
        <v>0.0</v>
      </c>
      <c r="O9" s="30">
        <v>0.0</v>
      </c>
      <c r="P9" s="30">
        <v>0.0</v>
      </c>
      <c r="Q9" s="30">
        <v>0.0</v>
      </c>
      <c r="R9" s="30">
        <v>0.0</v>
      </c>
      <c r="S9" s="30">
        <v>0.0</v>
      </c>
      <c r="T9" s="30">
        <v>0.0</v>
      </c>
      <c r="U9" s="30">
        <v>0.0</v>
      </c>
      <c r="V9" s="30">
        <v>0.0</v>
      </c>
      <c r="W9" s="30">
        <v>0.0</v>
      </c>
    </row>
    <row r="10">
      <c r="A10" s="26" t="s">
        <v>50</v>
      </c>
      <c r="B10" s="27">
        <v>22736.0</v>
      </c>
      <c r="C10" s="27">
        <v>22736.0</v>
      </c>
      <c r="D10" s="32">
        <v>1313.0</v>
      </c>
      <c r="E10" s="31">
        <v>1313.0</v>
      </c>
      <c r="F10" s="31">
        <v>1313.0</v>
      </c>
      <c r="G10" s="31">
        <v>1313.0</v>
      </c>
      <c r="H10" s="31">
        <v>1313.0</v>
      </c>
      <c r="I10" s="31">
        <v>1313.0</v>
      </c>
      <c r="J10" s="31">
        <v>1313.0</v>
      </c>
      <c r="K10" s="31">
        <v>1313.0</v>
      </c>
      <c r="L10" s="31">
        <v>1313.0</v>
      </c>
      <c r="M10" s="30">
        <v>0.0</v>
      </c>
      <c r="N10" s="30">
        <v>0.0</v>
      </c>
      <c r="O10" s="30">
        <v>0.0</v>
      </c>
      <c r="P10" s="30">
        <v>0.0</v>
      </c>
      <c r="Q10" s="30">
        <v>0.0</v>
      </c>
      <c r="R10" s="30">
        <v>0.0</v>
      </c>
      <c r="S10" s="30">
        <v>0.0</v>
      </c>
      <c r="T10" s="30">
        <v>0.0</v>
      </c>
      <c r="U10" s="30">
        <v>0.0</v>
      </c>
      <c r="V10" s="30">
        <v>0.0</v>
      </c>
      <c r="W10" s="30">
        <v>0.0</v>
      </c>
    </row>
    <row r="11">
      <c r="A11" s="26" t="s">
        <v>51</v>
      </c>
      <c r="B11" s="27">
        <v>85342.0</v>
      </c>
      <c r="C11" s="27">
        <v>85342.0</v>
      </c>
      <c r="D11" s="32">
        <v>28830.0</v>
      </c>
      <c r="E11" s="32">
        <v>28830.0</v>
      </c>
      <c r="F11" s="32">
        <v>28830.0</v>
      </c>
      <c r="G11" s="32">
        <v>28830.0</v>
      </c>
      <c r="H11" s="32">
        <v>28830.0</v>
      </c>
      <c r="I11" s="31">
        <v>28830.0</v>
      </c>
      <c r="J11" s="31">
        <v>28830.0</v>
      </c>
      <c r="K11" s="31">
        <v>3770.0</v>
      </c>
      <c r="L11" s="31">
        <v>3770.0</v>
      </c>
      <c r="M11" s="31">
        <v>3770.0</v>
      </c>
      <c r="N11" s="31">
        <v>3770.0</v>
      </c>
      <c r="O11" s="31">
        <v>3770.0</v>
      </c>
      <c r="P11" s="31">
        <v>3770.0</v>
      </c>
      <c r="Q11" s="31">
        <v>3770.0</v>
      </c>
      <c r="R11" s="31">
        <v>1372.0</v>
      </c>
      <c r="S11" s="31">
        <v>1372.0</v>
      </c>
      <c r="T11" s="31">
        <v>1372.0</v>
      </c>
      <c r="U11" s="30">
        <v>0.0</v>
      </c>
      <c r="V11" s="30">
        <v>0.0</v>
      </c>
      <c r="W11" s="30">
        <v>0.0</v>
      </c>
    </row>
    <row r="12">
      <c r="A12" s="26" t="s">
        <v>52</v>
      </c>
      <c r="B12" s="27">
        <v>40472.0</v>
      </c>
      <c r="C12" s="27">
        <v>40472.0</v>
      </c>
      <c r="D12" s="27">
        <v>40472.0</v>
      </c>
      <c r="E12" s="31">
        <v>31809.0</v>
      </c>
      <c r="F12" s="31">
        <v>31809.0</v>
      </c>
      <c r="G12" s="31">
        <v>31809.0</v>
      </c>
      <c r="H12" s="31">
        <v>31809.0</v>
      </c>
      <c r="I12" s="31">
        <v>31809.0</v>
      </c>
      <c r="J12" s="31">
        <v>31809.0</v>
      </c>
      <c r="K12" s="31">
        <v>31809.0</v>
      </c>
      <c r="L12" s="31">
        <v>13909.0</v>
      </c>
      <c r="M12" s="30">
        <v>0.0</v>
      </c>
      <c r="N12" s="30">
        <v>0.0</v>
      </c>
      <c r="O12" s="30">
        <v>0.0</v>
      </c>
      <c r="P12" s="30">
        <v>0.0</v>
      </c>
      <c r="Q12" s="30">
        <v>0.0</v>
      </c>
      <c r="R12" s="30">
        <v>0.0</v>
      </c>
      <c r="S12" s="30">
        <v>0.0</v>
      </c>
      <c r="T12" s="30">
        <v>0.0</v>
      </c>
      <c r="U12" s="30">
        <v>0.0</v>
      </c>
      <c r="V12" s="30">
        <v>0.0</v>
      </c>
      <c r="W12" s="30">
        <v>0.0</v>
      </c>
    </row>
    <row r="13">
      <c r="A13" s="34"/>
    </row>
    <row r="14">
      <c r="A14" s="34"/>
    </row>
    <row r="15">
      <c r="A15" s="34"/>
    </row>
    <row r="16">
      <c r="A16" s="34"/>
    </row>
    <row r="17">
      <c r="A17" s="34"/>
    </row>
    <row r="18">
      <c r="A18" s="34"/>
    </row>
    <row r="19" ht="44.25" customHeight="1">
      <c r="A19" s="45" t="s">
        <v>24</v>
      </c>
      <c r="B19" s="46" t="s">
        <v>53</v>
      </c>
      <c r="P19" s="46"/>
      <c r="Q19" s="46"/>
      <c r="R19" s="46"/>
      <c r="S19" s="46"/>
      <c r="T19" s="46"/>
      <c r="U19" s="46"/>
    </row>
    <row r="20" ht="15.75" customHeight="1">
      <c r="A20" s="47"/>
      <c r="B20" s="38"/>
      <c r="C20" s="38"/>
      <c r="D20" s="38"/>
      <c r="E20" s="38"/>
      <c r="F20" s="38"/>
      <c r="G20" s="38"/>
      <c r="H20" s="38"/>
      <c r="I20" s="38"/>
      <c r="J20" s="38"/>
      <c r="K20" s="38"/>
      <c r="L20" s="38"/>
      <c r="M20" s="38"/>
      <c r="N20" s="38"/>
      <c r="O20" s="38"/>
      <c r="P20" s="38"/>
      <c r="Q20" s="38"/>
    </row>
    <row r="21" ht="46.5" customHeight="1">
      <c r="A21" s="30" t="s">
        <v>54</v>
      </c>
      <c r="G21" s="38"/>
      <c r="H21" s="38"/>
      <c r="I21" s="38"/>
      <c r="J21" s="38"/>
      <c r="K21" s="38"/>
      <c r="L21" s="38"/>
      <c r="M21" s="38"/>
      <c r="N21" s="38"/>
      <c r="O21" s="38"/>
      <c r="P21" s="38"/>
      <c r="Q21" s="38"/>
    </row>
    <row r="22" ht="15.75" customHeight="1"/>
    <row r="23" ht="15.75" customHeight="1">
      <c r="A23" s="37" t="s">
        <v>55</v>
      </c>
      <c r="V23" s="38"/>
      <c r="W23" s="38"/>
      <c r="X23" s="38"/>
      <c r="Y23" s="38"/>
      <c r="Z23" s="38"/>
    </row>
    <row r="24" ht="15.75" customHeight="1"/>
    <row r="25" ht="15.75" customHeight="1">
      <c r="A25" s="37" t="s">
        <v>56</v>
      </c>
    </row>
    <row r="26" ht="15.75" customHeight="1">
      <c r="A26" s="37" t="s">
        <v>57</v>
      </c>
    </row>
    <row r="27" ht="15.75" customHeight="1">
      <c r="A27" s="37" t="s">
        <v>58</v>
      </c>
      <c r="K27" s="47"/>
      <c r="L27" s="47"/>
    </row>
    <row r="28" ht="15.75" customHeight="1">
      <c r="A28" s="37" t="s">
        <v>59</v>
      </c>
    </row>
    <row r="29" ht="15.75" customHeight="1">
      <c r="A29" s="37" t="s">
        <v>60</v>
      </c>
      <c r="V29" s="38"/>
      <c r="W29" s="38"/>
      <c r="X29" s="38"/>
      <c r="Y29" s="38"/>
      <c r="Z29" s="38"/>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mergeCells count="8">
    <mergeCell ref="B19:O19"/>
    <mergeCell ref="A23:U23"/>
    <mergeCell ref="A25:M25"/>
    <mergeCell ref="A26:M26"/>
    <mergeCell ref="A27:J27"/>
    <mergeCell ref="A28:M28"/>
    <mergeCell ref="A29:U29"/>
    <mergeCell ref="A21:F21"/>
  </mergeCells>
  <hyperlinks>
    <hyperlink r:id="rId1" ref="B19"/>
    <hyperlink r:id="rId2" ref="A23"/>
    <hyperlink r:id="rId3" location="/summary" ref="A25"/>
    <hyperlink r:id="rId4" location="/summary" ref="A26"/>
    <hyperlink r:id="rId5" ref="A27"/>
    <hyperlink r:id="rId6" ref="A28"/>
    <hyperlink r:id="rId7" ref="A29"/>
  </hyperlinks>
  <printOptions/>
  <pageMargins bottom="0.75" footer="0.0" header="0.0" left="0.7" right="0.7" top="0.75"/>
  <pageSetup orientation="portrait"/>
  <drawing r:id="rId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71"/>
    <col customWidth="1" min="2" max="15" width="8.71"/>
    <col customWidth="1" min="16" max="16" width="7.43"/>
    <col customWidth="1" min="17" max="17" width="8.29"/>
    <col customWidth="1" min="18" max="28" width="8.71"/>
  </cols>
  <sheetData>
    <row r="1">
      <c r="A1" s="1" t="s">
        <v>61</v>
      </c>
      <c r="B1" s="2">
        <v>44879.0</v>
      </c>
      <c r="C1" s="3">
        <v>44880.0</v>
      </c>
      <c r="D1" s="3">
        <v>44881.0</v>
      </c>
      <c r="E1" s="3">
        <v>44882.0</v>
      </c>
      <c r="F1" s="3">
        <v>44883.0</v>
      </c>
      <c r="G1" s="6" t="s">
        <v>62</v>
      </c>
      <c r="H1" s="5">
        <v>44886.0</v>
      </c>
      <c r="I1" s="6" t="s">
        <v>38</v>
      </c>
      <c r="J1" s="5">
        <v>44887.0</v>
      </c>
      <c r="K1" s="6" t="s">
        <v>63</v>
      </c>
      <c r="L1" s="5">
        <v>44888.0</v>
      </c>
      <c r="M1" s="5">
        <v>44889.0</v>
      </c>
      <c r="N1" s="5">
        <v>44893.0</v>
      </c>
      <c r="O1" s="6" t="s">
        <v>64</v>
      </c>
      <c r="P1" s="5">
        <v>44894.0</v>
      </c>
      <c r="Q1" s="6" t="s">
        <v>65</v>
      </c>
      <c r="R1" s="6" t="s">
        <v>66</v>
      </c>
      <c r="S1" s="7">
        <v>44896.0</v>
      </c>
      <c r="T1" s="7">
        <v>44897.0</v>
      </c>
      <c r="U1" s="6" t="s">
        <v>67</v>
      </c>
      <c r="V1" s="7">
        <v>44900.0</v>
      </c>
      <c r="W1" s="7">
        <v>44901.0</v>
      </c>
      <c r="X1" s="6" t="s">
        <v>68</v>
      </c>
      <c r="Y1" s="7">
        <v>44902.0</v>
      </c>
      <c r="Z1" s="7">
        <v>44903.0</v>
      </c>
      <c r="AA1" s="7">
        <v>44904.0</v>
      </c>
      <c r="AB1" s="8"/>
    </row>
    <row r="2" ht="14.25" customHeight="1">
      <c r="A2" s="9" t="s">
        <v>69</v>
      </c>
      <c r="B2" s="10">
        <v>29677.0</v>
      </c>
      <c r="C2" s="11">
        <v>30210.0</v>
      </c>
      <c r="D2" s="11">
        <v>35421.0</v>
      </c>
      <c r="E2" s="12">
        <v>37637.0</v>
      </c>
      <c r="F2" s="12">
        <v>39043.0</v>
      </c>
      <c r="G2" s="12">
        <v>40283.0</v>
      </c>
      <c r="H2" s="12">
        <v>44862.0</v>
      </c>
      <c r="I2" s="12">
        <v>44862.0</v>
      </c>
      <c r="J2" s="12">
        <v>51842.0</v>
      </c>
      <c r="K2" s="12">
        <v>51842.0</v>
      </c>
      <c r="L2" s="12">
        <v>51979.0</v>
      </c>
      <c r="M2" s="12">
        <v>52065.0</v>
      </c>
      <c r="N2" s="12">
        <v>52065.0</v>
      </c>
      <c r="O2" s="12">
        <v>52098.0</v>
      </c>
      <c r="P2" s="12">
        <v>52112.0</v>
      </c>
      <c r="Q2" s="12">
        <v>52112.0</v>
      </c>
      <c r="R2" s="12">
        <v>52129.0</v>
      </c>
      <c r="S2" s="12">
        <v>52472.0</v>
      </c>
      <c r="T2" s="12">
        <v>52472.0</v>
      </c>
      <c r="U2" s="12">
        <v>52472.0</v>
      </c>
      <c r="V2" s="12">
        <v>52849.0</v>
      </c>
      <c r="W2" s="12">
        <v>52849.0</v>
      </c>
      <c r="X2" s="12">
        <v>52849.0</v>
      </c>
      <c r="Y2" s="12">
        <v>52849.0</v>
      </c>
      <c r="Z2" s="12">
        <v>52849.0</v>
      </c>
      <c r="AA2" s="12">
        <v>52993.0</v>
      </c>
      <c r="AB2" s="13"/>
    </row>
    <row r="3">
      <c r="A3" s="14" t="s">
        <v>70</v>
      </c>
      <c r="B3" s="15">
        <v>26799.0</v>
      </c>
      <c r="C3" s="16">
        <v>27147.0</v>
      </c>
      <c r="D3" s="16">
        <v>32142.0</v>
      </c>
      <c r="E3" s="17">
        <v>33672.0</v>
      </c>
      <c r="F3" s="17">
        <v>34598.0</v>
      </c>
      <c r="G3" s="17">
        <v>35530.0</v>
      </c>
      <c r="H3" s="17">
        <v>40315.0</v>
      </c>
      <c r="I3" s="17">
        <v>40315.0</v>
      </c>
      <c r="J3" s="17">
        <v>48461.0</v>
      </c>
      <c r="K3" s="17">
        <v>48461.0</v>
      </c>
      <c r="L3" s="17">
        <v>48589.0</v>
      </c>
      <c r="M3" s="17">
        <v>48709.0</v>
      </c>
      <c r="N3" s="17">
        <v>48709.0</v>
      </c>
      <c r="O3" s="17">
        <v>48759.0</v>
      </c>
      <c r="P3" s="17">
        <v>48765.0</v>
      </c>
      <c r="Q3" s="17">
        <v>48765.0</v>
      </c>
      <c r="R3" s="17">
        <v>48783.0</v>
      </c>
      <c r="S3" s="17">
        <v>49196.0</v>
      </c>
      <c r="T3" s="17">
        <v>49196.0</v>
      </c>
      <c r="U3" s="17">
        <v>49196.0</v>
      </c>
      <c r="V3" s="17">
        <v>49722.0</v>
      </c>
      <c r="W3" s="17">
        <v>49722.0</v>
      </c>
      <c r="X3" s="17">
        <v>49722.0</v>
      </c>
      <c r="Y3" s="17">
        <v>49722.0</v>
      </c>
      <c r="Z3" s="17">
        <v>49722.0</v>
      </c>
      <c r="AA3" s="17">
        <v>49859.0</v>
      </c>
      <c r="AB3" s="19"/>
    </row>
    <row r="4">
      <c r="A4" s="20" t="s">
        <v>11</v>
      </c>
      <c r="B4" s="21">
        <f t="shared" ref="B4:AA4" si="1">B2-B3</f>
        <v>2878</v>
      </c>
      <c r="C4" s="21">
        <f t="shared" si="1"/>
        <v>3063</v>
      </c>
      <c r="D4" s="21">
        <f t="shared" si="1"/>
        <v>3279</v>
      </c>
      <c r="E4" s="21">
        <f t="shared" si="1"/>
        <v>3965</v>
      </c>
      <c r="F4" s="21">
        <f t="shared" si="1"/>
        <v>4445</v>
      </c>
      <c r="G4" s="21">
        <f t="shared" si="1"/>
        <v>4753</v>
      </c>
      <c r="H4" s="21">
        <f t="shared" si="1"/>
        <v>4547</v>
      </c>
      <c r="I4" s="21">
        <f t="shared" si="1"/>
        <v>4547</v>
      </c>
      <c r="J4" s="21">
        <f t="shared" si="1"/>
        <v>3381</v>
      </c>
      <c r="K4" s="21">
        <f t="shared" si="1"/>
        <v>3381</v>
      </c>
      <c r="L4" s="21">
        <f t="shared" si="1"/>
        <v>3390</v>
      </c>
      <c r="M4" s="21">
        <f t="shared" si="1"/>
        <v>3356</v>
      </c>
      <c r="N4" s="21">
        <f t="shared" si="1"/>
        <v>3356</v>
      </c>
      <c r="O4" s="21">
        <f t="shared" si="1"/>
        <v>3339</v>
      </c>
      <c r="P4" s="21">
        <f t="shared" si="1"/>
        <v>3347</v>
      </c>
      <c r="Q4" s="21">
        <f t="shared" si="1"/>
        <v>3347</v>
      </c>
      <c r="R4" s="21">
        <f t="shared" si="1"/>
        <v>3346</v>
      </c>
      <c r="S4" s="21">
        <f t="shared" si="1"/>
        <v>3276</v>
      </c>
      <c r="T4" s="21">
        <f t="shared" si="1"/>
        <v>3276</v>
      </c>
      <c r="U4" s="21">
        <f t="shared" si="1"/>
        <v>3276</v>
      </c>
      <c r="V4" s="21">
        <f t="shared" si="1"/>
        <v>3127</v>
      </c>
      <c r="W4" s="21">
        <f t="shared" si="1"/>
        <v>3127</v>
      </c>
      <c r="X4" s="21">
        <f t="shared" si="1"/>
        <v>3127</v>
      </c>
      <c r="Y4" s="21">
        <f t="shared" si="1"/>
        <v>3127</v>
      </c>
      <c r="Z4" s="21">
        <f t="shared" si="1"/>
        <v>3127</v>
      </c>
      <c r="AA4" s="21">
        <f t="shared" si="1"/>
        <v>3134</v>
      </c>
      <c r="AB4" s="22"/>
    </row>
    <row r="5">
      <c r="A5" s="20" t="s">
        <v>12</v>
      </c>
      <c r="B5" s="23">
        <f t="shared" ref="B5:AA5" si="2">B4/sum(B2:B3)</f>
        <v>0.0509596997</v>
      </c>
      <c r="C5" s="23">
        <f t="shared" si="2"/>
        <v>0.0534023746</v>
      </c>
      <c r="D5" s="23">
        <f t="shared" si="2"/>
        <v>0.0485324808</v>
      </c>
      <c r="E5" s="23">
        <f t="shared" si="2"/>
        <v>0.05560307956</v>
      </c>
      <c r="F5" s="23">
        <f t="shared" si="2"/>
        <v>0.06036039706</v>
      </c>
      <c r="G5" s="23">
        <f t="shared" si="2"/>
        <v>0.06269373326</v>
      </c>
      <c r="H5" s="23">
        <f t="shared" si="2"/>
        <v>0.05338295549</v>
      </c>
      <c r="I5" s="23">
        <f t="shared" si="2"/>
        <v>0.05338295549</v>
      </c>
      <c r="J5" s="23">
        <f t="shared" si="2"/>
        <v>0.03370786517</v>
      </c>
      <c r="K5" s="23">
        <f t="shared" si="2"/>
        <v>0.03370786517</v>
      </c>
      <c r="L5" s="23">
        <f t="shared" si="2"/>
        <v>0.03370853552</v>
      </c>
      <c r="M5" s="23">
        <f t="shared" si="2"/>
        <v>0.03330224066</v>
      </c>
      <c r="N5" s="23">
        <f t="shared" si="2"/>
        <v>0.03330224066</v>
      </c>
      <c r="O5" s="23">
        <f t="shared" si="2"/>
        <v>0.03310627919</v>
      </c>
      <c r="P5" s="23">
        <f t="shared" si="2"/>
        <v>0.03317901999</v>
      </c>
      <c r="Q5" s="23">
        <f t="shared" si="2"/>
        <v>0.03317901999</v>
      </c>
      <c r="R5" s="23">
        <f t="shared" si="2"/>
        <v>0.03315760266</v>
      </c>
      <c r="S5" s="23">
        <f t="shared" si="2"/>
        <v>0.03222252823</v>
      </c>
      <c r="T5" s="23">
        <f t="shared" si="2"/>
        <v>0.03222252823</v>
      </c>
      <c r="U5" s="23">
        <f t="shared" si="2"/>
        <v>0.03222252823</v>
      </c>
      <c r="V5" s="23">
        <f t="shared" si="2"/>
        <v>0.0304861998</v>
      </c>
      <c r="W5" s="23">
        <f t="shared" si="2"/>
        <v>0.0304861998</v>
      </c>
      <c r="X5" s="23">
        <f t="shared" si="2"/>
        <v>0.0304861998</v>
      </c>
      <c r="Y5" s="23">
        <f t="shared" si="2"/>
        <v>0.0304861998</v>
      </c>
      <c r="Z5" s="23">
        <f t="shared" si="2"/>
        <v>0.0304861998</v>
      </c>
      <c r="AA5" s="23">
        <f t="shared" si="2"/>
        <v>0.03047096799</v>
      </c>
      <c r="AB5" s="48"/>
    </row>
    <row r="6">
      <c r="A6" s="24" t="s">
        <v>13</v>
      </c>
      <c r="B6" s="25">
        <f t="shared" ref="B6:AA6" si="3">SUM(B7:B9)</f>
        <v>108606</v>
      </c>
      <c r="C6" s="25">
        <f t="shared" si="3"/>
        <v>108606</v>
      </c>
      <c r="D6" s="25">
        <f t="shared" si="3"/>
        <v>104409</v>
      </c>
      <c r="E6" s="25">
        <f t="shared" si="3"/>
        <v>80808</v>
      </c>
      <c r="F6" s="25">
        <f t="shared" si="3"/>
        <v>69465</v>
      </c>
      <c r="G6" s="21">
        <f t="shared" si="3"/>
        <v>40557</v>
      </c>
      <c r="H6" s="21">
        <f t="shared" si="3"/>
        <v>40557</v>
      </c>
      <c r="I6" s="21">
        <f t="shared" si="3"/>
        <v>40557</v>
      </c>
      <c r="J6" s="21">
        <f t="shared" si="3"/>
        <v>40557</v>
      </c>
      <c r="K6" s="21">
        <f t="shared" si="3"/>
        <v>5001</v>
      </c>
      <c r="L6" s="21">
        <f t="shared" si="3"/>
        <v>5001</v>
      </c>
      <c r="M6" s="21">
        <f t="shared" si="3"/>
        <v>3726</v>
      </c>
      <c r="N6" s="21">
        <f t="shared" si="3"/>
        <v>3726</v>
      </c>
      <c r="O6" s="21">
        <f t="shared" si="3"/>
        <v>3702</v>
      </c>
      <c r="P6" s="21">
        <f t="shared" si="3"/>
        <v>3702</v>
      </c>
      <c r="Q6" s="21">
        <f t="shared" si="3"/>
        <v>3573</v>
      </c>
      <c r="R6" s="21">
        <f t="shared" si="3"/>
        <v>3573</v>
      </c>
      <c r="S6" s="21">
        <f t="shared" si="3"/>
        <v>3573</v>
      </c>
      <c r="T6" s="21">
        <f t="shared" si="3"/>
        <v>1517</v>
      </c>
      <c r="U6" s="21">
        <f t="shared" si="3"/>
        <v>100</v>
      </c>
      <c r="V6" s="21">
        <f t="shared" si="3"/>
        <v>100</v>
      </c>
      <c r="W6" s="21">
        <f t="shared" si="3"/>
        <v>100</v>
      </c>
      <c r="X6" s="21">
        <f t="shared" si="3"/>
        <v>100</v>
      </c>
      <c r="Y6" s="21">
        <f t="shared" si="3"/>
        <v>100</v>
      </c>
      <c r="Z6" s="21">
        <f t="shared" si="3"/>
        <v>100</v>
      </c>
      <c r="AA6" s="21">
        <f t="shared" si="3"/>
        <v>0</v>
      </c>
    </row>
    <row r="7">
      <c r="A7" s="26" t="s">
        <v>71</v>
      </c>
      <c r="B7" s="27">
        <v>72428.0</v>
      </c>
      <c r="C7" s="27">
        <v>72428.0</v>
      </c>
      <c r="D7" s="27">
        <v>72428.0</v>
      </c>
      <c r="E7" s="31">
        <v>55380.0</v>
      </c>
      <c r="F7" s="31">
        <v>55380.0</v>
      </c>
      <c r="G7" s="31">
        <v>38174.0</v>
      </c>
      <c r="H7" s="31">
        <v>38174.0</v>
      </c>
      <c r="I7" s="31">
        <v>38174.0</v>
      </c>
      <c r="J7" s="31">
        <v>38174.0</v>
      </c>
      <c r="K7" s="31">
        <v>3376.0</v>
      </c>
      <c r="L7" s="31">
        <v>3376.0</v>
      </c>
      <c r="M7" s="31">
        <v>2776.0</v>
      </c>
      <c r="N7" s="31">
        <v>2776.0</v>
      </c>
      <c r="O7" s="31">
        <v>2776.0</v>
      </c>
      <c r="P7" s="31">
        <v>2776.0</v>
      </c>
      <c r="Q7" s="31">
        <v>2776.0</v>
      </c>
      <c r="R7" s="31">
        <v>2776.0</v>
      </c>
      <c r="S7" s="31">
        <v>2776.0</v>
      </c>
      <c r="T7" s="30">
        <v>720.0</v>
      </c>
      <c r="U7" s="30">
        <v>100.0</v>
      </c>
      <c r="V7" s="30">
        <v>100.0</v>
      </c>
      <c r="W7" s="30">
        <v>100.0</v>
      </c>
      <c r="X7" s="30">
        <v>100.0</v>
      </c>
      <c r="Y7" s="30">
        <v>100.0</v>
      </c>
      <c r="Z7" s="30">
        <v>100.0</v>
      </c>
      <c r="AA7" s="30">
        <v>0.0</v>
      </c>
    </row>
    <row r="8">
      <c r="A8" s="26" t="s">
        <v>72</v>
      </c>
      <c r="B8" s="27">
        <v>409.0</v>
      </c>
      <c r="C8" s="27">
        <v>409.0</v>
      </c>
      <c r="D8" s="29">
        <v>24.0</v>
      </c>
      <c r="E8" s="30">
        <v>24.0</v>
      </c>
      <c r="F8" s="30">
        <v>24.0</v>
      </c>
      <c r="G8" s="30">
        <v>24.0</v>
      </c>
      <c r="H8" s="30">
        <v>24.0</v>
      </c>
      <c r="I8" s="30">
        <v>24.0</v>
      </c>
      <c r="J8" s="30">
        <v>24.0</v>
      </c>
      <c r="K8" s="30">
        <v>24.0</v>
      </c>
      <c r="L8" s="30">
        <v>24.0</v>
      </c>
      <c r="M8" s="30">
        <v>24.0</v>
      </c>
      <c r="N8" s="30">
        <v>24.0</v>
      </c>
      <c r="O8" s="30">
        <v>0.0</v>
      </c>
      <c r="P8" s="30">
        <v>0.0</v>
      </c>
      <c r="Q8" s="30">
        <v>0.0</v>
      </c>
      <c r="R8" s="30">
        <v>0.0</v>
      </c>
      <c r="S8" s="30">
        <v>0.0</v>
      </c>
      <c r="T8" s="30">
        <v>0.0</v>
      </c>
      <c r="U8" s="30">
        <v>0.0</v>
      </c>
      <c r="V8" s="30">
        <v>0.0</v>
      </c>
      <c r="W8" s="30">
        <v>0.0</v>
      </c>
      <c r="X8" s="30">
        <v>0.0</v>
      </c>
      <c r="Y8" s="30">
        <v>0.0</v>
      </c>
      <c r="Z8" s="30">
        <v>0.0</v>
      </c>
      <c r="AA8" s="30">
        <v>0.0</v>
      </c>
    </row>
    <row r="9">
      <c r="A9" s="26" t="s">
        <v>73</v>
      </c>
      <c r="B9" s="27">
        <v>35769.0</v>
      </c>
      <c r="C9" s="27">
        <v>35769.0</v>
      </c>
      <c r="D9" s="32">
        <v>31957.0</v>
      </c>
      <c r="E9" s="31">
        <v>25404.0</v>
      </c>
      <c r="F9" s="31">
        <v>14061.0</v>
      </c>
      <c r="G9" s="31">
        <v>2359.0</v>
      </c>
      <c r="H9" s="31">
        <v>2359.0</v>
      </c>
      <c r="I9" s="31">
        <v>2359.0</v>
      </c>
      <c r="J9" s="31">
        <v>2359.0</v>
      </c>
      <c r="K9" s="31">
        <v>1601.0</v>
      </c>
      <c r="L9" s="31">
        <v>1601.0</v>
      </c>
      <c r="M9" s="30">
        <v>926.0</v>
      </c>
      <c r="N9" s="30">
        <v>926.0</v>
      </c>
      <c r="O9" s="30">
        <v>926.0</v>
      </c>
      <c r="P9" s="30">
        <v>926.0</v>
      </c>
      <c r="Q9" s="30">
        <v>797.0</v>
      </c>
      <c r="R9" s="30">
        <v>797.0</v>
      </c>
      <c r="S9" s="30">
        <v>797.0</v>
      </c>
      <c r="T9" s="30">
        <v>797.0</v>
      </c>
      <c r="U9" s="30">
        <v>0.0</v>
      </c>
      <c r="V9" s="30">
        <v>0.0</v>
      </c>
      <c r="W9" s="30">
        <v>0.0</v>
      </c>
      <c r="X9" s="30">
        <v>0.0</v>
      </c>
      <c r="Y9" s="30">
        <v>0.0</v>
      </c>
      <c r="Z9" s="30">
        <v>0.0</v>
      </c>
      <c r="AA9" s="30">
        <v>0.0</v>
      </c>
    </row>
    <row r="10">
      <c r="A10" s="49"/>
      <c r="B10" s="50"/>
    </row>
    <row r="11">
      <c r="A11" s="49"/>
      <c r="B11" s="50"/>
    </row>
    <row r="12">
      <c r="A12" s="34"/>
    </row>
    <row r="13">
      <c r="A13" s="34"/>
    </row>
    <row r="14">
      <c r="A14" s="34"/>
    </row>
    <row r="15">
      <c r="A15" s="34"/>
    </row>
    <row r="16">
      <c r="A16" s="34"/>
    </row>
    <row r="17">
      <c r="A17" s="34"/>
    </row>
    <row r="18" ht="34.5" customHeight="1">
      <c r="A18" s="45" t="s">
        <v>24</v>
      </c>
      <c r="B18" s="46" t="s">
        <v>74</v>
      </c>
      <c r="N18" s="46"/>
      <c r="O18" s="46"/>
      <c r="P18" s="46"/>
      <c r="Q18" s="46"/>
      <c r="R18" s="46"/>
      <c r="S18" s="46"/>
    </row>
    <row r="20">
      <c r="A20" s="30" t="s">
        <v>75</v>
      </c>
    </row>
    <row r="22">
      <c r="A22" s="37" t="s">
        <v>76</v>
      </c>
    </row>
    <row r="23" ht="15.75" customHeight="1"/>
    <row r="24">
      <c r="A24" s="37" t="s">
        <v>77</v>
      </c>
    </row>
    <row r="25" ht="15.75" customHeight="1">
      <c r="A25" s="37" t="s">
        <v>78</v>
      </c>
      <c r="X25" s="38"/>
      <c r="Y25" s="38"/>
      <c r="Z25" s="38"/>
      <c r="AA25" s="38"/>
      <c r="AB25" s="38"/>
    </row>
    <row r="26" ht="15.75" customHeight="1">
      <c r="A26" s="37" t="s">
        <v>79</v>
      </c>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mergeCells count="6">
    <mergeCell ref="B18:M18"/>
    <mergeCell ref="A22:T22"/>
    <mergeCell ref="A24:L24"/>
    <mergeCell ref="A25:W25"/>
    <mergeCell ref="A26:J26"/>
    <mergeCell ref="A20:F20"/>
  </mergeCells>
  <hyperlinks>
    <hyperlink r:id="rId1" ref="B18"/>
    <hyperlink r:id="rId2" ref="A22"/>
    <hyperlink r:id="rId3" ref="A24"/>
    <hyperlink r:id="rId4" ref="A25"/>
    <hyperlink r:id="rId5" ref="A26"/>
  </hyperlinks>
  <printOptions/>
  <pageMargins bottom="0.75" footer="0.0" header="0.0" left="0.7" right="0.7" top="0.75"/>
  <pageSetup orientation="portrait"/>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0"/>
    <col customWidth="1" min="2" max="2" width="10.14"/>
    <col customWidth="1" min="3" max="16" width="8.71"/>
    <col customWidth="1" min="17" max="17" width="8.29"/>
    <col customWidth="1" min="18" max="26" width="8.71"/>
  </cols>
  <sheetData>
    <row r="1">
      <c r="A1" s="1" t="s">
        <v>80</v>
      </c>
      <c r="B1" s="51">
        <v>44879.0</v>
      </c>
      <c r="C1" s="3">
        <v>44880.0</v>
      </c>
      <c r="D1" s="3">
        <v>44881.0</v>
      </c>
      <c r="E1" s="3">
        <v>44882.0</v>
      </c>
      <c r="F1" s="3">
        <v>44883.0</v>
      </c>
      <c r="G1" s="6" t="s">
        <v>81</v>
      </c>
      <c r="H1" s="5">
        <v>44886.0</v>
      </c>
      <c r="I1" s="40" t="s">
        <v>82</v>
      </c>
      <c r="J1" s="5">
        <v>44887.0</v>
      </c>
      <c r="K1" s="6" t="s">
        <v>83</v>
      </c>
      <c r="L1" s="5">
        <v>44888.0</v>
      </c>
      <c r="M1" s="5">
        <v>44889.0</v>
      </c>
      <c r="N1" s="5">
        <v>44893.0</v>
      </c>
      <c r="O1" s="40" t="s">
        <v>84</v>
      </c>
      <c r="P1" s="5">
        <v>44894.0</v>
      </c>
      <c r="Q1" s="6" t="s">
        <v>85</v>
      </c>
      <c r="R1" s="6" t="s">
        <v>66</v>
      </c>
      <c r="S1" s="7">
        <v>44896.0</v>
      </c>
      <c r="T1" s="7">
        <v>44897.0</v>
      </c>
      <c r="U1" s="6" t="s">
        <v>86</v>
      </c>
      <c r="V1" s="7">
        <v>44900.0</v>
      </c>
      <c r="W1" s="7">
        <v>44901.0</v>
      </c>
      <c r="X1" s="40" t="s">
        <v>87</v>
      </c>
      <c r="Y1" s="41"/>
      <c r="Z1" s="41"/>
    </row>
    <row r="2">
      <c r="A2" s="9" t="s">
        <v>88</v>
      </c>
      <c r="B2" s="52">
        <v>76203.0</v>
      </c>
      <c r="C2" s="11">
        <v>81720.0</v>
      </c>
      <c r="D2" s="11">
        <v>85435.0</v>
      </c>
      <c r="E2" s="12">
        <v>89550.0</v>
      </c>
      <c r="F2" s="12">
        <v>94538.0</v>
      </c>
      <c r="G2" s="12">
        <v>99847.0</v>
      </c>
      <c r="H2" s="12">
        <v>104058.0</v>
      </c>
      <c r="I2" s="12">
        <v>104058.0</v>
      </c>
      <c r="J2" s="12">
        <v>104058.0</v>
      </c>
      <c r="K2" s="12">
        <v>104433.0</v>
      </c>
      <c r="L2" s="12">
        <v>104433.0</v>
      </c>
      <c r="M2" s="12">
        <v>104433.0</v>
      </c>
      <c r="N2" s="12">
        <v>104433.0</v>
      </c>
      <c r="O2" s="12">
        <v>104433.0</v>
      </c>
      <c r="P2" s="12">
        <v>104433.0</v>
      </c>
      <c r="Q2" s="12">
        <v>104536.0</v>
      </c>
      <c r="R2" s="12">
        <v>104536.0</v>
      </c>
      <c r="S2" s="12">
        <v>104536.0</v>
      </c>
      <c r="T2" s="12">
        <v>104536.0</v>
      </c>
      <c r="U2" s="12">
        <v>104567.0</v>
      </c>
      <c r="V2" s="12">
        <v>104567.0</v>
      </c>
      <c r="W2" s="12">
        <v>104624.0</v>
      </c>
      <c r="X2" s="12">
        <v>104624.0</v>
      </c>
      <c r="Y2" s="42"/>
      <c r="Z2" s="42"/>
    </row>
    <row r="3">
      <c r="A3" s="14" t="s">
        <v>89</v>
      </c>
      <c r="B3" s="53">
        <v>61342.0</v>
      </c>
      <c r="C3" s="16">
        <v>68553.0</v>
      </c>
      <c r="D3" s="16">
        <v>72301.0</v>
      </c>
      <c r="E3" s="17">
        <v>75704.0</v>
      </c>
      <c r="F3" s="17">
        <v>80614.0</v>
      </c>
      <c r="G3" s="17">
        <v>85980.0</v>
      </c>
      <c r="H3" s="17">
        <v>91301.0</v>
      </c>
      <c r="I3" s="17">
        <v>91301.0</v>
      </c>
      <c r="J3" s="17">
        <v>91301.0</v>
      </c>
      <c r="K3" s="17">
        <v>91669.0</v>
      </c>
      <c r="L3" s="17">
        <v>91669.0</v>
      </c>
      <c r="M3" s="17">
        <v>91669.0</v>
      </c>
      <c r="N3" s="17">
        <v>91669.0</v>
      </c>
      <c r="O3" s="17">
        <v>91669.0</v>
      </c>
      <c r="P3" s="17">
        <v>91669.0</v>
      </c>
      <c r="Q3" s="17">
        <v>91782.0</v>
      </c>
      <c r="R3" s="17">
        <v>91782.0</v>
      </c>
      <c r="S3" s="17">
        <v>91782.0</v>
      </c>
      <c r="T3" s="17">
        <v>91782.0</v>
      </c>
      <c r="U3" s="17">
        <v>91841.0</v>
      </c>
      <c r="V3" s="17">
        <v>91841.0</v>
      </c>
      <c r="W3" s="17">
        <v>91892.0</v>
      </c>
      <c r="X3" s="17">
        <v>91892.0</v>
      </c>
      <c r="Y3" s="43"/>
      <c r="Z3" s="43"/>
    </row>
    <row r="4">
      <c r="A4" s="20" t="s">
        <v>11</v>
      </c>
      <c r="B4" s="21">
        <f t="shared" ref="B4:X4" si="1">B2-B3</f>
        <v>14861</v>
      </c>
      <c r="C4" s="21">
        <f t="shared" si="1"/>
        <v>13167</v>
      </c>
      <c r="D4" s="21">
        <f t="shared" si="1"/>
        <v>13134</v>
      </c>
      <c r="E4" s="21">
        <f t="shared" si="1"/>
        <v>13846</v>
      </c>
      <c r="F4" s="21">
        <f t="shared" si="1"/>
        <v>13924</v>
      </c>
      <c r="G4" s="21">
        <f t="shared" si="1"/>
        <v>13867</v>
      </c>
      <c r="H4" s="21">
        <f t="shared" si="1"/>
        <v>12757</v>
      </c>
      <c r="I4" s="21">
        <f t="shared" si="1"/>
        <v>12757</v>
      </c>
      <c r="J4" s="21">
        <f t="shared" si="1"/>
        <v>12757</v>
      </c>
      <c r="K4" s="21">
        <f t="shared" si="1"/>
        <v>12764</v>
      </c>
      <c r="L4" s="21">
        <f t="shared" si="1"/>
        <v>12764</v>
      </c>
      <c r="M4" s="21">
        <f t="shared" si="1"/>
        <v>12764</v>
      </c>
      <c r="N4" s="21">
        <f t="shared" si="1"/>
        <v>12764</v>
      </c>
      <c r="O4" s="21">
        <f t="shared" si="1"/>
        <v>12764</v>
      </c>
      <c r="P4" s="21">
        <f t="shared" si="1"/>
        <v>12764</v>
      </c>
      <c r="Q4" s="21">
        <f t="shared" si="1"/>
        <v>12754</v>
      </c>
      <c r="R4" s="21">
        <f t="shared" si="1"/>
        <v>12754</v>
      </c>
      <c r="S4" s="21">
        <f t="shared" si="1"/>
        <v>12754</v>
      </c>
      <c r="T4" s="21">
        <f t="shared" si="1"/>
        <v>12754</v>
      </c>
      <c r="U4" s="21">
        <f t="shared" si="1"/>
        <v>12726</v>
      </c>
      <c r="V4" s="21">
        <f t="shared" si="1"/>
        <v>12726</v>
      </c>
      <c r="W4" s="21">
        <f t="shared" si="1"/>
        <v>12732</v>
      </c>
      <c r="X4" s="21">
        <f t="shared" si="1"/>
        <v>12732</v>
      </c>
    </row>
    <row r="5">
      <c r="A5" s="20" t="s">
        <v>12</v>
      </c>
      <c r="B5" s="23">
        <f t="shared" ref="B5:X5" si="2">B4/sum(B2:B3)</f>
        <v>0.1080446399</v>
      </c>
      <c r="C5" s="23">
        <f t="shared" si="2"/>
        <v>0.08762053063</v>
      </c>
      <c r="D5" s="23">
        <f t="shared" si="2"/>
        <v>0.08326570979</v>
      </c>
      <c r="E5" s="23">
        <f t="shared" si="2"/>
        <v>0.08378617159</v>
      </c>
      <c r="F5" s="23">
        <f t="shared" si="2"/>
        <v>0.07949666575</v>
      </c>
      <c r="G5" s="23">
        <f t="shared" si="2"/>
        <v>0.07462317101</v>
      </c>
      <c r="H5" s="23">
        <f t="shared" si="2"/>
        <v>0.06530029331</v>
      </c>
      <c r="I5" s="23">
        <f t="shared" si="2"/>
        <v>0.06530029331</v>
      </c>
      <c r="J5" s="23">
        <f t="shared" si="2"/>
        <v>0.06530029331</v>
      </c>
      <c r="K5" s="23">
        <f t="shared" si="2"/>
        <v>0.06508857635</v>
      </c>
      <c r="L5" s="23">
        <f t="shared" si="2"/>
        <v>0.06508857635</v>
      </c>
      <c r="M5" s="23">
        <f t="shared" si="2"/>
        <v>0.06508857635</v>
      </c>
      <c r="N5" s="23">
        <f t="shared" si="2"/>
        <v>0.06508857635</v>
      </c>
      <c r="O5" s="23">
        <f t="shared" si="2"/>
        <v>0.06508857635</v>
      </c>
      <c r="P5" s="23">
        <f t="shared" si="2"/>
        <v>0.06508857635</v>
      </c>
      <c r="Q5" s="23">
        <f t="shared" si="2"/>
        <v>0.06496602451</v>
      </c>
      <c r="R5" s="23">
        <f t="shared" si="2"/>
        <v>0.06496602451</v>
      </c>
      <c r="S5" s="23">
        <f t="shared" si="2"/>
        <v>0.06496602451</v>
      </c>
      <c r="T5" s="23">
        <f t="shared" si="2"/>
        <v>0.06496602451</v>
      </c>
      <c r="U5" s="23">
        <f t="shared" si="2"/>
        <v>0.06479369476</v>
      </c>
      <c r="V5" s="23">
        <f t="shared" si="2"/>
        <v>0.06479369476</v>
      </c>
      <c r="W5" s="23">
        <f t="shared" si="2"/>
        <v>0.06478861772</v>
      </c>
      <c r="X5" s="23">
        <f t="shared" si="2"/>
        <v>0.06478861772</v>
      </c>
    </row>
    <row r="6">
      <c r="A6" s="24" t="s">
        <v>90</v>
      </c>
      <c r="B6" s="21">
        <v>1006300.0</v>
      </c>
      <c r="C6" s="25">
        <v>1006300.0</v>
      </c>
      <c r="D6" s="32">
        <v>655300.0</v>
      </c>
      <c r="E6" s="54">
        <v>463050.0</v>
      </c>
      <c r="F6" s="54">
        <v>463050.0</v>
      </c>
      <c r="G6" s="31">
        <v>332550.0</v>
      </c>
      <c r="H6" s="31">
        <v>332550.0</v>
      </c>
      <c r="I6" s="31">
        <v>332550.0</v>
      </c>
      <c r="J6" s="31">
        <v>25250.0</v>
      </c>
      <c r="K6" s="31">
        <v>25250.0</v>
      </c>
      <c r="L6" s="31">
        <v>25250.0</v>
      </c>
      <c r="M6" s="31">
        <v>15105.0</v>
      </c>
      <c r="N6" s="31">
        <v>15105.0</v>
      </c>
      <c r="O6" s="31">
        <v>15105.0</v>
      </c>
      <c r="P6" s="31">
        <v>15105.0</v>
      </c>
      <c r="Q6" s="31">
        <v>15105.0</v>
      </c>
      <c r="R6" s="31">
        <v>11405.0</v>
      </c>
      <c r="S6" s="31">
        <v>11405.0</v>
      </c>
      <c r="T6" s="31">
        <v>11405.0</v>
      </c>
      <c r="U6" s="31">
        <v>11405.0</v>
      </c>
      <c r="V6" s="31">
        <v>11405.0</v>
      </c>
      <c r="W6" s="31">
        <v>0.0</v>
      </c>
      <c r="X6" s="30">
        <v>0.0</v>
      </c>
    </row>
    <row r="7">
      <c r="A7" s="26" t="s">
        <v>91</v>
      </c>
      <c r="B7" s="21">
        <v>1006300.0</v>
      </c>
      <c r="C7" s="25">
        <v>1006300.0</v>
      </c>
      <c r="D7" s="32">
        <v>655300.0</v>
      </c>
      <c r="E7" s="54">
        <v>463050.0</v>
      </c>
      <c r="F7" s="54">
        <v>463050.0</v>
      </c>
      <c r="G7" s="31">
        <v>332550.0</v>
      </c>
      <c r="H7" s="31">
        <v>332550.0</v>
      </c>
      <c r="I7" s="31">
        <v>332550.0</v>
      </c>
      <c r="J7" s="31">
        <v>25250.0</v>
      </c>
      <c r="K7" s="31">
        <v>25250.0</v>
      </c>
      <c r="L7" s="31">
        <v>25250.0</v>
      </c>
      <c r="M7" s="31">
        <v>15105.0</v>
      </c>
      <c r="N7" s="31">
        <v>15105.0</v>
      </c>
      <c r="O7" s="31">
        <v>15105.0</v>
      </c>
      <c r="P7" s="31">
        <v>15105.0</v>
      </c>
      <c r="Q7" s="31">
        <v>15105.0</v>
      </c>
      <c r="R7" s="31">
        <v>11405.0</v>
      </c>
      <c r="S7" s="31">
        <v>11405.0</v>
      </c>
      <c r="T7" s="31">
        <v>11405.0</v>
      </c>
      <c r="U7" s="31">
        <v>11405.0</v>
      </c>
      <c r="V7" s="31">
        <v>11405.0</v>
      </c>
      <c r="W7" s="31">
        <v>0.0</v>
      </c>
      <c r="X7" s="30">
        <v>0.0</v>
      </c>
    </row>
    <row r="8">
      <c r="A8" s="49"/>
      <c r="B8" s="22"/>
    </row>
    <row r="9">
      <c r="A9" s="34"/>
      <c r="B9" s="55"/>
    </row>
    <row r="10">
      <c r="A10" s="34"/>
      <c r="B10" s="55"/>
    </row>
    <row r="11">
      <c r="A11" s="34"/>
      <c r="B11" s="55"/>
    </row>
    <row r="12">
      <c r="A12" s="34"/>
      <c r="B12" s="55"/>
    </row>
    <row r="13">
      <c r="A13" s="34"/>
      <c r="B13" s="55"/>
    </row>
    <row r="14">
      <c r="A14" s="34"/>
      <c r="B14" s="55"/>
    </row>
    <row r="15">
      <c r="A15" s="34"/>
      <c r="B15" s="55"/>
    </row>
    <row r="16">
      <c r="A16" s="34"/>
      <c r="B16" s="55"/>
    </row>
    <row r="17">
      <c r="A17" s="34"/>
      <c r="B17" s="55"/>
    </row>
    <row r="18" ht="32.25" customHeight="1">
      <c r="A18" s="35" t="s">
        <v>92</v>
      </c>
      <c r="B18" s="56" t="s">
        <v>93</v>
      </c>
    </row>
    <row r="19">
      <c r="B19" s="55"/>
    </row>
    <row r="20">
      <c r="A20" s="30" t="s">
        <v>94</v>
      </c>
    </row>
    <row r="21">
      <c r="B21" s="55"/>
    </row>
    <row r="22">
      <c r="A22" s="37" t="s">
        <v>95</v>
      </c>
    </row>
    <row r="23" ht="15.75" customHeight="1">
      <c r="B23" s="55"/>
    </row>
    <row r="24" ht="15.75" customHeight="1">
      <c r="A24" s="37" t="s">
        <v>96</v>
      </c>
    </row>
    <row r="25" ht="15.75" customHeight="1">
      <c r="B25" s="55"/>
    </row>
    <row r="26" ht="15.75" customHeight="1">
      <c r="B26" s="55"/>
    </row>
    <row r="27" ht="15.75" customHeight="1">
      <c r="B27" s="55"/>
    </row>
    <row r="28" ht="15.75" customHeight="1">
      <c r="B28" s="55"/>
    </row>
    <row r="29" ht="15.75" customHeight="1">
      <c r="B29" s="55"/>
    </row>
    <row r="30" ht="15.75" customHeight="1">
      <c r="B30" s="55"/>
    </row>
    <row r="31" ht="15.75" customHeight="1">
      <c r="B31" s="55"/>
    </row>
    <row r="32" ht="15.75" customHeight="1">
      <c r="B32" s="55"/>
    </row>
    <row r="33" ht="15.75" customHeight="1">
      <c r="B33" s="55"/>
    </row>
    <row r="34" ht="15.75" customHeight="1">
      <c r="B34" s="55"/>
    </row>
    <row r="35" ht="15.75" customHeight="1">
      <c r="B35" s="55"/>
    </row>
    <row r="36" ht="15.75" customHeight="1">
      <c r="B36" s="55"/>
    </row>
    <row r="37" ht="15.75" customHeight="1">
      <c r="B37" s="55"/>
    </row>
    <row r="38" ht="15.75" customHeight="1">
      <c r="B38" s="55"/>
    </row>
    <row r="39" ht="15.75" customHeight="1">
      <c r="B39" s="55"/>
    </row>
    <row r="40" ht="15.75" customHeight="1">
      <c r="B40" s="55"/>
    </row>
    <row r="41" ht="15.75" customHeight="1">
      <c r="B41" s="55"/>
    </row>
    <row r="42" ht="15.75" customHeight="1">
      <c r="B42" s="55"/>
    </row>
    <row r="43" ht="15.75" customHeight="1">
      <c r="B43" s="55"/>
    </row>
    <row r="44" ht="15.75" customHeight="1">
      <c r="B44" s="55"/>
    </row>
    <row r="45" ht="15.75" customHeight="1">
      <c r="B45" s="55"/>
    </row>
    <row r="46" ht="15.75" customHeight="1">
      <c r="B46" s="55"/>
    </row>
    <row r="47" ht="15.75" customHeight="1">
      <c r="B47" s="55"/>
    </row>
    <row r="48" ht="15.75" customHeight="1">
      <c r="B48" s="55"/>
    </row>
    <row r="49" ht="15.75" customHeight="1">
      <c r="B49" s="55"/>
    </row>
    <row r="50" ht="15.75" customHeight="1">
      <c r="B50" s="55"/>
    </row>
    <row r="51" ht="15.75" customHeight="1">
      <c r="B51" s="55"/>
    </row>
    <row r="52" ht="15.75" customHeight="1">
      <c r="B52" s="55"/>
    </row>
    <row r="53" ht="15.75" customHeight="1">
      <c r="B53" s="55"/>
    </row>
    <row r="54" ht="15.75" customHeight="1">
      <c r="B54" s="55"/>
    </row>
    <row r="55" ht="15.75" customHeight="1">
      <c r="B55" s="55"/>
    </row>
    <row r="56" ht="15.75" customHeight="1">
      <c r="B56" s="55"/>
    </row>
    <row r="57" ht="15.75" customHeight="1">
      <c r="B57" s="55"/>
    </row>
    <row r="58" ht="15.75" customHeight="1">
      <c r="B58" s="55"/>
    </row>
    <row r="59" ht="15.75" customHeight="1">
      <c r="B59" s="55"/>
    </row>
    <row r="60" ht="15.75" customHeight="1">
      <c r="B60" s="55"/>
    </row>
    <row r="61" ht="15.75" customHeight="1">
      <c r="B61" s="55"/>
    </row>
    <row r="62" ht="15.75" customHeight="1">
      <c r="B62" s="55"/>
    </row>
    <row r="63" ht="15.75" customHeight="1">
      <c r="B63" s="55"/>
    </row>
    <row r="64" ht="15.75" customHeight="1">
      <c r="B64" s="55"/>
    </row>
    <row r="65" ht="15.75" customHeight="1">
      <c r="B65" s="55"/>
    </row>
    <row r="66" ht="15.75" customHeight="1">
      <c r="B66" s="55"/>
    </row>
    <row r="67" ht="15.75" customHeight="1">
      <c r="B67" s="55"/>
    </row>
    <row r="68" ht="15.75" customHeight="1">
      <c r="B68" s="55"/>
    </row>
    <row r="69" ht="15.75" customHeight="1">
      <c r="B69" s="55"/>
    </row>
    <row r="70" ht="15.75" customHeight="1">
      <c r="B70" s="55"/>
    </row>
    <row r="71" ht="15.75" customHeight="1">
      <c r="B71" s="55"/>
    </row>
    <row r="72" ht="15.75" customHeight="1">
      <c r="B72" s="55"/>
    </row>
    <row r="73" ht="15.75" customHeight="1">
      <c r="B73" s="55"/>
    </row>
    <row r="74" ht="15.75" customHeight="1">
      <c r="B74" s="55"/>
    </row>
    <row r="75" ht="15.75" customHeight="1">
      <c r="B75" s="55"/>
    </row>
    <row r="76" ht="15.75" customHeight="1">
      <c r="B76" s="55"/>
    </row>
    <row r="77" ht="15.75" customHeight="1">
      <c r="B77" s="55"/>
    </row>
    <row r="78" ht="15.75" customHeight="1">
      <c r="B78" s="55"/>
    </row>
    <row r="79" ht="15.75" customHeight="1">
      <c r="B79" s="55"/>
    </row>
    <row r="80" ht="15.75" customHeight="1">
      <c r="B80" s="55"/>
    </row>
    <row r="81" ht="15.75" customHeight="1">
      <c r="B81" s="55"/>
    </row>
    <row r="82" ht="15.75" customHeight="1">
      <c r="B82" s="55"/>
    </row>
    <row r="83" ht="15.75" customHeight="1">
      <c r="B83" s="55"/>
    </row>
    <row r="84" ht="15.75" customHeight="1">
      <c r="B84" s="55"/>
    </row>
    <row r="85" ht="15.75" customHeight="1">
      <c r="B85" s="55"/>
    </row>
    <row r="86" ht="15.75" customHeight="1">
      <c r="B86" s="55"/>
    </row>
    <row r="87" ht="15.75" customHeight="1">
      <c r="B87" s="55"/>
    </row>
    <row r="88" ht="15.75" customHeight="1">
      <c r="B88" s="55"/>
    </row>
    <row r="89" ht="15.75" customHeight="1">
      <c r="B89" s="55"/>
    </row>
    <row r="90" ht="15.75" customHeight="1">
      <c r="B90" s="55"/>
    </row>
    <row r="91" ht="15.75" customHeight="1">
      <c r="B91" s="55"/>
    </row>
    <row r="92" ht="15.75" customHeight="1">
      <c r="B92" s="55"/>
    </row>
    <row r="93" ht="15.75" customHeight="1">
      <c r="B93" s="55"/>
    </row>
    <row r="94" ht="15.75" customHeight="1">
      <c r="B94" s="55"/>
    </row>
    <row r="95" ht="15.75" customHeight="1">
      <c r="B95" s="55"/>
    </row>
    <row r="96" ht="15.75" customHeight="1">
      <c r="B96" s="55"/>
    </row>
    <row r="97" ht="15.75" customHeight="1">
      <c r="B97" s="55"/>
    </row>
    <row r="98" ht="15.75" customHeight="1">
      <c r="B98" s="55"/>
    </row>
    <row r="99" ht="15.75" customHeight="1">
      <c r="B99" s="55"/>
    </row>
    <row r="100" ht="15.75" customHeight="1">
      <c r="B100" s="55"/>
    </row>
    <row r="101" ht="15.75" customHeight="1">
      <c r="B101" s="55"/>
    </row>
    <row r="102" ht="15.75" customHeight="1">
      <c r="B102" s="55"/>
    </row>
    <row r="103" ht="15.75" customHeight="1">
      <c r="B103" s="55"/>
    </row>
    <row r="104" ht="15.75" customHeight="1">
      <c r="B104" s="55"/>
    </row>
    <row r="105" ht="15.75" customHeight="1">
      <c r="B105" s="55"/>
    </row>
    <row r="106" ht="15.75" customHeight="1">
      <c r="B106" s="55"/>
    </row>
    <row r="107" ht="15.75" customHeight="1">
      <c r="B107" s="55"/>
    </row>
    <row r="108" ht="15.75" customHeight="1">
      <c r="B108" s="55"/>
    </row>
    <row r="109" ht="15.75" customHeight="1">
      <c r="B109" s="55"/>
    </row>
    <row r="110" ht="15.75" customHeight="1">
      <c r="B110" s="55"/>
    </row>
    <row r="111" ht="15.75" customHeight="1">
      <c r="B111" s="55"/>
    </row>
    <row r="112" ht="15.75" customHeight="1">
      <c r="B112" s="55"/>
    </row>
    <row r="113" ht="15.75" customHeight="1">
      <c r="B113" s="55"/>
    </row>
    <row r="114" ht="15.75" customHeight="1">
      <c r="B114" s="55"/>
    </row>
    <row r="115" ht="15.75" customHeight="1">
      <c r="B115" s="55"/>
    </row>
    <row r="116" ht="15.75" customHeight="1">
      <c r="B116" s="55"/>
    </row>
    <row r="117" ht="15.75" customHeight="1">
      <c r="B117" s="55"/>
    </row>
    <row r="118" ht="15.75" customHeight="1">
      <c r="B118" s="55"/>
    </row>
    <row r="119" ht="15.75" customHeight="1">
      <c r="B119" s="55"/>
    </row>
    <row r="120" ht="15.75" customHeight="1">
      <c r="B120" s="55"/>
    </row>
    <row r="121" ht="15.75" customHeight="1">
      <c r="B121" s="55"/>
    </row>
    <row r="122" ht="15.75" customHeight="1">
      <c r="B122" s="55"/>
    </row>
    <row r="123" ht="15.75" customHeight="1">
      <c r="B123" s="55"/>
    </row>
    <row r="124" ht="15.75" customHeight="1">
      <c r="B124" s="55"/>
    </row>
    <row r="125" ht="15.75" customHeight="1">
      <c r="B125" s="55"/>
    </row>
    <row r="126" ht="15.75" customHeight="1">
      <c r="B126" s="55"/>
    </row>
    <row r="127" ht="15.75" customHeight="1">
      <c r="B127" s="55"/>
    </row>
    <row r="128" ht="15.75" customHeight="1">
      <c r="B128" s="55"/>
    </row>
    <row r="129" ht="15.75" customHeight="1">
      <c r="B129" s="55"/>
    </row>
    <row r="130" ht="15.75" customHeight="1">
      <c r="B130" s="55"/>
    </row>
    <row r="131" ht="15.75" customHeight="1">
      <c r="B131" s="55"/>
    </row>
    <row r="132" ht="15.75" customHeight="1">
      <c r="B132" s="55"/>
    </row>
    <row r="133" ht="15.75" customHeight="1">
      <c r="B133" s="55"/>
    </row>
    <row r="134" ht="15.75" customHeight="1">
      <c r="B134" s="55"/>
    </row>
    <row r="135" ht="15.75" customHeight="1">
      <c r="B135" s="55"/>
    </row>
    <row r="136" ht="15.75" customHeight="1">
      <c r="B136" s="55"/>
    </row>
    <row r="137" ht="15.75" customHeight="1">
      <c r="B137" s="55"/>
    </row>
    <row r="138" ht="15.75" customHeight="1">
      <c r="B138" s="55"/>
    </row>
    <row r="139" ht="15.75" customHeight="1">
      <c r="B139" s="55"/>
    </row>
    <row r="140" ht="15.75" customHeight="1">
      <c r="B140" s="55"/>
    </row>
    <row r="141" ht="15.75" customHeight="1">
      <c r="B141" s="55"/>
    </row>
    <row r="142" ht="15.75" customHeight="1">
      <c r="B142" s="55"/>
    </row>
    <row r="143" ht="15.75" customHeight="1">
      <c r="B143" s="55"/>
    </row>
    <row r="144" ht="15.75" customHeight="1">
      <c r="B144" s="55"/>
    </row>
    <row r="145" ht="15.75" customHeight="1">
      <c r="B145" s="55"/>
    </row>
    <row r="146" ht="15.75" customHeight="1">
      <c r="B146" s="55"/>
    </row>
    <row r="147" ht="15.75" customHeight="1">
      <c r="B147" s="55"/>
    </row>
    <row r="148" ht="15.75" customHeight="1">
      <c r="B148" s="55"/>
    </row>
    <row r="149" ht="15.75" customHeight="1">
      <c r="B149" s="55"/>
    </row>
    <row r="150" ht="15.75" customHeight="1">
      <c r="B150" s="55"/>
    </row>
    <row r="151" ht="15.75" customHeight="1">
      <c r="B151" s="55"/>
    </row>
    <row r="152" ht="15.75" customHeight="1">
      <c r="B152" s="55"/>
    </row>
    <row r="153" ht="15.75" customHeight="1">
      <c r="B153" s="55"/>
    </row>
    <row r="154" ht="15.75" customHeight="1">
      <c r="B154" s="55"/>
    </row>
    <row r="155" ht="15.75" customHeight="1">
      <c r="B155" s="55"/>
    </row>
    <row r="156" ht="15.75" customHeight="1">
      <c r="B156" s="55"/>
    </row>
    <row r="157" ht="15.75" customHeight="1">
      <c r="B157" s="55"/>
    </row>
    <row r="158" ht="15.75" customHeight="1">
      <c r="B158" s="55"/>
    </row>
    <row r="159" ht="15.75" customHeight="1">
      <c r="B159" s="55"/>
    </row>
    <row r="160" ht="15.75" customHeight="1">
      <c r="B160" s="55"/>
    </row>
    <row r="161" ht="15.75" customHeight="1">
      <c r="B161" s="55"/>
    </row>
    <row r="162" ht="15.75" customHeight="1">
      <c r="B162" s="55"/>
    </row>
    <row r="163" ht="15.75" customHeight="1">
      <c r="B163" s="55"/>
    </row>
    <row r="164" ht="15.75" customHeight="1">
      <c r="B164" s="55"/>
    </row>
    <row r="165" ht="15.75" customHeight="1">
      <c r="B165" s="55"/>
    </row>
    <row r="166" ht="15.75" customHeight="1">
      <c r="B166" s="55"/>
    </row>
    <row r="167" ht="15.75" customHeight="1">
      <c r="B167" s="55"/>
    </row>
    <row r="168" ht="15.75" customHeight="1">
      <c r="B168" s="55"/>
    </row>
    <row r="169" ht="15.75" customHeight="1">
      <c r="B169" s="55"/>
    </row>
    <row r="170" ht="15.75" customHeight="1">
      <c r="B170" s="55"/>
    </row>
    <row r="171" ht="15.75" customHeight="1">
      <c r="B171" s="55"/>
    </row>
    <row r="172" ht="15.75" customHeight="1">
      <c r="B172" s="55"/>
    </row>
    <row r="173" ht="15.75" customHeight="1">
      <c r="B173" s="55"/>
    </row>
    <row r="174" ht="15.75" customHeight="1">
      <c r="B174" s="55"/>
    </row>
    <row r="175" ht="15.75" customHeight="1">
      <c r="B175" s="55"/>
    </row>
    <row r="176" ht="15.75" customHeight="1">
      <c r="B176" s="55"/>
    </row>
    <row r="177" ht="15.75" customHeight="1">
      <c r="B177" s="55"/>
    </row>
    <row r="178" ht="15.75" customHeight="1">
      <c r="B178" s="55"/>
    </row>
    <row r="179" ht="15.75" customHeight="1">
      <c r="B179" s="55"/>
    </row>
    <row r="180" ht="15.75" customHeight="1">
      <c r="B180" s="55"/>
    </row>
    <row r="181" ht="15.75" customHeight="1">
      <c r="B181" s="55"/>
    </row>
    <row r="182" ht="15.75" customHeight="1">
      <c r="B182" s="55"/>
    </row>
    <row r="183" ht="15.75" customHeight="1">
      <c r="B183" s="55"/>
    </row>
    <row r="184" ht="15.75" customHeight="1">
      <c r="B184" s="55"/>
    </row>
    <row r="185" ht="15.75" customHeight="1">
      <c r="B185" s="55"/>
    </row>
    <row r="186" ht="15.75" customHeight="1">
      <c r="B186" s="55"/>
    </row>
    <row r="187" ht="15.75" customHeight="1">
      <c r="B187" s="55"/>
    </row>
    <row r="188" ht="15.75" customHeight="1">
      <c r="B188" s="55"/>
    </row>
    <row r="189" ht="15.75" customHeight="1">
      <c r="B189" s="55"/>
    </row>
    <row r="190" ht="15.75" customHeight="1">
      <c r="B190" s="55"/>
    </row>
    <row r="191" ht="15.75" customHeight="1">
      <c r="B191" s="55"/>
    </row>
    <row r="192" ht="15.75" customHeight="1">
      <c r="B192" s="55"/>
    </row>
    <row r="193" ht="15.75" customHeight="1">
      <c r="B193" s="55"/>
    </row>
    <row r="194" ht="15.75" customHeight="1">
      <c r="B194" s="55"/>
    </row>
    <row r="195" ht="15.75" customHeight="1">
      <c r="B195" s="55"/>
    </row>
    <row r="196" ht="15.75" customHeight="1">
      <c r="B196" s="55"/>
    </row>
    <row r="197" ht="15.75" customHeight="1">
      <c r="B197" s="55"/>
    </row>
    <row r="198" ht="15.75" customHeight="1">
      <c r="B198" s="55"/>
    </row>
    <row r="199" ht="15.75" customHeight="1">
      <c r="B199" s="55"/>
    </row>
    <row r="200" ht="15.75" customHeight="1">
      <c r="B200" s="55"/>
    </row>
    <row r="201" ht="15.75" customHeight="1">
      <c r="B201" s="55"/>
    </row>
    <row r="202" ht="15.75" customHeight="1">
      <c r="B202" s="55"/>
    </row>
    <row r="203" ht="15.75" customHeight="1">
      <c r="B203" s="55"/>
    </row>
    <row r="204" ht="15.75" customHeight="1">
      <c r="B204" s="55"/>
    </row>
    <row r="205" ht="15.75" customHeight="1">
      <c r="B205" s="55"/>
    </row>
    <row r="206" ht="15.75" customHeight="1">
      <c r="B206" s="55"/>
    </row>
    <row r="207" ht="15.75" customHeight="1">
      <c r="B207" s="55"/>
    </row>
    <row r="208" ht="15.75" customHeight="1">
      <c r="B208" s="55"/>
    </row>
    <row r="209" ht="15.75" customHeight="1">
      <c r="B209" s="55"/>
    </row>
    <row r="210" ht="15.75" customHeight="1">
      <c r="B210" s="55"/>
    </row>
    <row r="211" ht="15.75" customHeight="1">
      <c r="B211" s="55"/>
    </row>
    <row r="212" ht="15.75" customHeight="1">
      <c r="B212" s="55"/>
    </row>
    <row r="213" ht="15.75" customHeight="1">
      <c r="B213" s="55"/>
    </row>
    <row r="214" ht="15.75" customHeight="1">
      <c r="B214" s="55"/>
    </row>
    <row r="215" ht="15.75" customHeight="1">
      <c r="B215" s="55"/>
    </row>
    <row r="216" ht="15.75" customHeight="1">
      <c r="B216" s="55"/>
    </row>
    <row r="217" ht="15.75" customHeight="1">
      <c r="B217" s="55"/>
    </row>
    <row r="218" ht="15.75" customHeight="1">
      <c r="B218" s="55"/>
    </row>
    <row r="219" ht="15.75" customHeight="1">
      <c r="B219" s="55"/>
    </row>
    <row r="220" ht="15.75" customHeight="1">
      <c r="B220" s="55"/>
    </row>
    <row r="221" ht="15.75" customHeight="1">
      <c r="B221" s="55"/>
    </row>
    <row r="222" ht="15.75" customHeight="1">
      <c r="B222" s="55"/>
    </row>
    <row r="223" ht="15.75" customHeight="1">
      <c r="B223" s="55"/>
    </row>
    <row r="224" ht="15.75" customHeight="1">
      <c r="B224" s="55"/>
    </row>
    <row r="225" ht="15.75" customHeight="1">
      <c r="B225" s="55"/>
    </row>
    <row r="226" ht="15.75" customHeight="1">
      <c r="B226" s="55"/>
    </row>
    <row r="227" ht="15.75" customHeight="1">
      <c r="B227" s="55"/>
    </row>
    <row r="228" ht="15.75" customHeight="1">
      <c r="B228" s="55"/>
    </row>
    <row r="229" ht="15.75" customHeight="1">
      <c r="B229" s="55"/>
    </row>
    <row r="230" ht="15.75" customHeight="1">
      <c r="B230" s="55"/>
    </row>
    <row r="231" ht="15.75" customHeight="1">
      <c r="B231" s="55"/>
    </row>
    <row r="232" ht="15.75" customHeight="1">
      <c r="B232" s="55"/>
    </row>
    <row r="233" ht="15.75" customHeight="1">
      <c r="B233" s="55"/>
    </row>
    <row r="234" ht="15.75" customHeight="1">
      <c r="B234" s="55"/>
    </row>
    <row r="235" ht="15.75" customHeight="1">
      <c r="B235" s="55"/>
    </row>
    <row r="236" ht="15.75" customHeight="1">
      <c r="B236" s="55"/>
    </row>
    <row r="237" ht="15.75" customHeight="1">
      <c r="B237" s="55"/>
    </row>
    <row r="238" ht="15.75" customHeight="1">
      <c r="B238" s="55"/>
    </row>
    <row r="239" ht="15.75" customHeight="1">
      <c r="B239" s="55"/>
    </row>
    <row r="240" ht="15.75" customHeight="1">
      <c r="B240" s="55"/>
    </row>
    <row r="241" ht="15.75" customHeight="1">
      <c r="B241" s="55"/>
    </row>
    <row r="242" ht="15.75" customHeight="1">
      <c r="B242" s="55"/>
    </row>
    <row r="243" ht="15.75" customHeight="1">
      <c r="B243" s="55"/>
    </row>
    <row r="244" ht="15.75" customHeight="1">
      <c r="B244" s="55"/>
    </row>
    <row r="245" ht="15.75" customHeight="1">
      <c r="B245" s="55"/>
    </row>
    <row r="246" ht="15.75" customHeight="1">
      <c r="B246" s="55"/>
    </row>
    <row r="247" ht="15.75" customHeight="1">
      <c r="B247" s="55"/>
    </row>
    <row r="248" ht="15.75" customHeight="1">
      <c r="B248" s="55"/>
    </row>
    <row r="249" ht="15.75" customHeight="1">
      <c r="B249" s="55"/>
    </row>
    <row r="250" ht="15.75" customHeight="1">
      <c r="B250" s="55"/>
    </row>
    <row r="251" ht="15.75" customHeight="1">
      <c r="B251" s="55"/>
    </row>
    <row r="252" ht="15.75" customHeight="1">
      <c r="B252" s="55"/>
    </row>
    <row r="253" ht="15.75" customHeight="1">
      <c r="B253" s="55"/>
    </row>
    <row r="254" ht="15.75" customHeight="1">
      <c r="B254" s="55"/>
    </row>
    <row r="255" ht="15.75" customHeight="1">
      <c r="B255" s="55"/>
    </row>
    <row r="256" ht="15.75" customHeight="1">
      <c r="B256" s="55"/>
    </row>
    <row r="257" ht="15.75" customHeight="1">
      <c r="B257" s="55"/>
    </row>
    <row r="258" ht="15.75" customHeight="1">
      <c r="B258" s="55"/>
    </row>
    <row r="259" ht="15.75" customHeight="1">
      <c r="B259" s="55"/>
    </row>
    <row r="260" ht="15.75" customHeight="1">
      <c r="B260" s="55"/>
    </row>
    <row r="261" ht="15.75" customHeight="1">
      <c r="B261" s="55"/>
    </row>
    <row r="262" ht="15.75" customHeight="1">
      <c r="B262" s="55"/>
    </row>
    <row r="263" ht="15.75" customHeight="1">
      <c r="B263" s="55"/>
    </row>
    <row r="264" ht="15.75" customHeight="1">
      <c r="B264" s="55"/>
    </row>
    <row r="265" ht="15.75" customHeight="1">
      <c r="B265" s="55"/>
    </row>
    <row r="266" ht="15.75" customHeight="1">
      <c r="B266" s="55"/>
    </row>
    <row r="267" ht="15.75" customHeight="1">
      <c r="B267" s="55"/>
    </row>
    <row r="268" ht="15.75" customHeight="1">
      <c r="B268" s="55"/>
    </row>
    <row r="269" ht="15.75" customHeight="1">
      <c r="B269" s="55"/>
    </row>
    <row r="270" ht="15.75" customHeight="1">
      <c r="B270" s="55"/>
    </row>
    <row r="271" ht="15.75" customHeight="1">
      <c r="B271" s="55"/>
    </row>
    <row r="272" ht="15.75" customHeight="1">
      <c r="B272" s="55"/>
    </row>
    <row r="273" ht="15.75" customHeight="1">
      <c r="B273" s="55"/>
    </row>
    <row r="274" ht="15.75" customHeight="1">
      <c r="B274" s="55"/>
    </row>
    <row r="275" ht="15.75" customHeight="1">
      <c r="B275" s="55"/>
    </row>
    <row r="276" ht="15.75" customHeight="1">
      <c r="B276" s="55"/>
    </row>
    <row r="277" ht="15.75" customHeight="1">
      <c r="B277" s="55"/>
    </row>
    <row r="278" ht="15.75" customHeight="1">
      <c r="B278" s="55"/>
    </row>
    <row r="279" ht="15.75" customHeight="1">
      <c r="B279" s="55"/>
    </row>
    <row r="280" ht="15.75" customHeight="1">
      <c r="B280" s="55"/>
    </row>
    <row r="281" ht="15.75" customHeight="1">
      <c r="B281" s="55"/>
    </row>
    <row r="282" ht="15.75" customHeight="1">
      <c r="B282" s="55"/>
    </row>
    <row r="283" ht="15.75" customHeight="1">
      <c r="B283" s="55"/>
    </row>
    <row r="284" ht="15.75" customHeight="1">
      <c r="B284" s="55"/>
    </row>
    <row r="285" ht="15.75" customHeight="1">
      <c r="B285" s="55"/>
    </row>
    <row r="286" ht="15.75" customHeight="1">
      <c r="B286" s="55"/>
    </row>
    <row r="287" ht="15.75" customHeight="1">
      <c r="B287" s="55"/>
    </row>
    <row r="288" ht="15.75" customHeight="1">
      <c r="B288" s="55"/>
    </row>
    <row r="289" ht="15.75" customHeight="1">
      <c r="B289" s="55"/>
    </row>
    <row r="290" ht="15.75" customHeight="1">
      <c r="B290" s="55"/>
    </row>
    <row r="291" ht="15.75" customHeight="1">
      <c r="B291" s="55"/>
    </row>
    <row r="292" ht="15.75" customHeight="1">
      <c r="B292" s="55"/>
    </row>
    <row r="293" ht="15.75" customHeight="1">
      <c r="B293" s="55"/>
    </row>
    <row r="294" ht="15.75" customHeight="1">
      <c r="B294" s="55"/>
    </row>
    <row r="295" ht="15.75" customHeight="1">
      <c r="B295" s="55"/>
    </row>
    <row r="296" ht="15.75" customHeight="1">
      <c r="B296" s="55"/>
    </row>
    <row r="297" ht="15.75" customHeight="1">
      <c r="B297" s="55"/>
    </row>
    <row r="298" ht="15.75" customHeight="1">
      <c r="B298" s="55"/>
    </row>
    <row r="299" ht="15.75" customHeight="1">
      <c r="B299" s="55"/>
    </row>
    <row r="300" ht="15.75" customHeight="1">
      <c r="B300" s="55"/>
    </row>
    <row r="301" ht="15.75" customHeight="1">
      <c r="B301" s="55"/>
    </row>
    <row r="302" ht="15.75" customHeight="1">
      <c r="B302" s="55"/>
    </row>
    <row r="303" ht="15.75" customHeight="1">
      <c r="B303" s="55"/>
    </row>
    <row r="304" ht="15.75" customHeight="1">
      <c r="B304" s="55"/>
    </row>
    <row r="305" ht="15.75" customHeight="1">
      <c r="B305" s="55"/>
    </row>
    <row r="306" ht="15.75" customHeight="1">
      <c r="B306" s="55"/>
    </row>
    <row r="307" ht="15.75" customHeight="1">
      <c r="B307" s="55"/>
    </row>
    <row r="308" ht="15.75" customHeight="1">
      <c r="B308" s="55"/>
    </row>
    <row r="309" ht="15.75" customHeight="1">
      <c r="B309" s="55"/>
    </row>
    <row r="310" ht="15.75" customHeight="1">
      <c r="B310" s="55"/>
    </row>
    <row r="311" ht="15.75" customHeight="1">
      <c r="B311" s="55"/>
    </row>
    <row r="312" ht="15.75" customHeight="1">
      <c r="B312" s="55"/>
    </row>
    <row r="313" ht="15.75" customHeight="1">
      <c r="B313" s="55"/>
    </row>
    <row r="314" ht="15.75" customHeight="1">
      <c r="B314" s="55"/>
    </row>
    <row r="315" ht="15.75" customHeight="1">
      <c r="B315" s="55"/>
    </row>
    <row r="316" ht="15.75" customHeight="1">
      <c r="B316" s="55"/>
    </row>
    <row r="317" ht="15.75" customHeight="1">
      <c r="B317" s="55"/>
    </row>
    <row r="318" ht="15.75" customHeight="1">
      <c r="B318" s="55"/>
    </row>
    <row r="319" ht="15.75" customHeight="1">
      <c r="B319" s="55"/>
    </row>
    <row r="320" ht="15.75" customHeight="1">
      <c r="B320" s="55"/>
    </row>
    <row r="321" ht="15.75" customHeight="1">
      <c r="B321" s="55"/>
    </row>
    <row r="322" ht="15.75" customHeight="1">
      <c r="B322" s="55"/>
    </row>
    <row r="323" ht="15.75" customHeight="1">
      <c r="B323" s="55"/>
    </row>
    <row r="324" ht="15.75" customHeight="1">
      <c r="B324" s="55"/>
    </row>
    <row r="325" ht="15.75" customHeight="1">
      <c r="B325" s="55"/>
    </row>
    <row r="326" ht="15.75" customHeight="1">
      <c r="B326" s="55"/>
    </row>
    <row r="327" ht="15.75" customHeight="1">
      <c r="B327" s="55"/>
    </row>
    <row r="328" ht="15.75" customHeight="1">
      <c r="B328" s="55"/>
    </row>
    <row r="329" ht="15.75" customHeight="1">
      <c r="B329" s="55"/>
    </row>
    <row r="330" ht="15.75" customHeight="1">
      <c r="B330" s="55"/>
    </row>
    <row r="331" ht="15.75" customHeight="1">
      <c r="B331" s="55"/>
    </row>
    <row r="332" ht="15.75" customHeight="1">
      <c r="B332" s="55"/>
    </row>
    <row r="333" ht="15.75" customHeight="1">
      <c r="B333" s="55"/>
    </row>
    <row r="334" ht="15.75" customHeight="1">
      <c r="B334" s="55"/>
    </row>
    <row r="335" ht="15.75" customHeight="1">
      <c r="B335" s="55"/>
    </row>
    <row r="336" ht="15.75" customHeight="1">
      <c r="B336" s="55"/>
    </row>
    <row r="337" ht="15.75" customHeight="1">
      <c r="B337" s="55"/>
    </row>
    <row r="338" ht="15.75" customHeight="1">
      <c r="B338" s="55"/>
    </row>
    <row r="339" ht="15.75" customHeight="1">
      <c r="B339" s="55"/>
    </row>
    <row r="340" ht="15.75" customHeight="1">
      <c r="B340" s="55"/>
    </row>
    <row r="341" ht="15.75" customHeight="1">
      <c r="B341" s="55"/>
    </row>
    <row r="342" ht="15.75" customHeight="1">
      <c r="B342" s="55"/>
    </row>
    <row r="343" ht="15.75" customHeight="1">
      <c r="B343" s="55"/>
    </row>
    <row r="344" ht="15.75" customHeight="1">
      <c r="B344" s="55"/>
    </row>
    <row r="345" ht="15.75" customHeight="1">
      <c r="B345" s="55"/>
    </row>
    <row r="346" ht="15.75" customHeight="1">
      <c r="B346" s="55"/>
    </row>
    <row r="347" ht="15.75" customHeight="1">
      <c r="B347" s="55"/>
    </row>
    <row r="348" ht="15.75" customHeight="1">
      <c r="B348" s="55"/>
    </row>
    <row r="349" ht="15.75" customHeight="1">
      <c r="B349" s="55"/>
    </row>
    <row r="350" ht="15.75" customHeight="1">
      <c r="B350" s="55"/>
    </row>
    <row r="351" ht="15.75" customHeight="1">
      <c r="B351" s="55"/>
    </row>
    <row r="352" ht="15.75" customHeight="1">
      <c r="B352" s="55"/>
    </row>
    <row r="353" ht="15.75" customHeight="1">
      <c r="B353" s="55"/>
    </row>
    <row r="354" ht="15.75" customHeight="1">
      <c r="B354" s="55"/>
    </row>
    <row r="355" ht="15.75" customHeight="1">
      <c r="B355" s="55"/>
    </row>
    <row r="356" ht="15.75" customHeight="1">
      <c r="B356" s="55"/>
    </row>
    <row r="357" ht="15.75" customHeight="1">
      <c r="B357" s="55"/>
    </row>
    <row r="358" ht="15.75" customHeight="1">
      <c r="B358" s="55"/>
    </row>
    <row r="359" ht="15.75" customHeight="1">
      <c r="B359" s="55"/>
    </row>
    <row r="360" ht="15.75" customHeight="1">
      <c r="B360" s="55"/>
    </row>
    <row r="361" ht="15.75" customHeight="1">
      <c r="B361" s="55"/>
    </row>
    <row r="362" ht="15.75" customHeight="1">
      <c r="B362" s="55"/>
    </row>
    <row r="363" ht="15.75" customHeight="1">
      <c r="B363" s="55"/>
    </row>
    <row r="364" ht="15.75" customHeight="1">
      <c r="B364" s="55"/>
    </row>
    <row r="365" ht="15.75" customHeight="1">
      <c r="B365" s="55"/>
    </row>
    <row r="366" ht="15.75" customHeight="1">
      <c r="B366" s="55"/>
    </row>
    <row r="367" ht="15.75" customHeight="1">
      <c r="B367" s="55"/>
    </row>
    <row r="368" ht="15.75" customHeight="1">
      <c r="B368" s="55"/>
    </row>
    <row r="369" ht="15.75" customHeight="1">
      <c r="B369" s="55"/>
    </row>
    <row r="370" ht="15.75" customHeight="1">
      <c r="B370" s="55"/>
    </row>
    <row r="371" ht="15.75" customHeight="1">
      <c r="B371" s="55"/>
    </row>
    <row r="372" ht="15.75" customHeight="1">
      <c r="B372" s="55"/>
    </row>
    <row r="373" ht="15.75" customHeight="1">
      <c r="B373" s="55"/>
    </row>
    <row r="374" ht="15.75" customHeight="1">
      <c r="B374" s="55"/>
    </row>
    <row r="375" ht="15.75" customHeight="1">
      <c r="B375" s="55"/>
    </row>
    <row r="376" ht="15.75" customHeight="1">
      <c r="B376" s="55"/>
    </row>
    <row r="377" ht="15.75" customHeight="1">
      <c r="B377" s="55"/>
    </row>
    <row r="378" ht="15.75" customHeight="1">
      <c r="B378" s="55"/>
    </row>
    <row r="379" ht="15.75" customHeight="1">
      <c r="B379" s="55"/>
    </row>
    <row r="380" ht="15.75" customHeight="1">
      <c r="B380" s="55"/>
    </row>
    <row r="381" ht="15.75" customHeight="1">
      <c r="B381" s="55"/>
    </row>
    <row r="382" ht="15.75" customHeight="1">
      <c r="B382" s="55"/>
    </row>
    <row r="383" ht="15.75" customHeight="1">
      <c r="B383" s="55"/>
    </row>
    <row r="384" ht="15.75" customHeight="1">
      <c r="B384" s="55"/>
    </row>
    <row r="385" ht="15.75" customHeight="1">
      <c r="B385" s="55"/>
    </row>
    <row r="386" ht="15.75" customHeight="1">
      <c r="B386" s="55"/>
    </row>
    <row r="387" ht="15.75" customHeight="1">
      <c r="B387" s="55"/>
    </row>
    <row r="388" ht="15.75" customHeight="1">
      <c r="B388" s="55"/>
    </row>
    <row r="389" ht="15.75" customHeight="1">
      <c r="B389" s="55"/>
    </row>
    <row r="390" ht="15.75" customHeight="1">
      <c r="B390" s="55"/>
    </row>
    <row r="391" ht="15.75" customHeight="1">
      <c r="B391" s="55"/>
    </row>
    <row r="392" ht="15.75" customHeight="1">
      <c r="B392" s="55"/>
    </row>
    <row r="393" ht="15.75" customHeight="1">
      <c r="B393" s="55"/>
    </row>
    <row r="394" ht="15.75" customHeight="1">
      <c r="B394" s="55"/>
    </row>
    <row r="395" ht="15.75" customHeight="1">
      <c r="B395" s="55"/>
    </row>
    <row r="396" ht="15.75" customHeight="1">
      <c r="B396" s="55"/>
    </row>
    <row r="397" ht="15.75" customHeight="1">
      <c r="B397" s="55"/>
    </row>
    <row r="398" ht="15.75" customHeight="1">
      <c r="B398" s="55"/>
    </row>
    <row r="399" ht="15.75" customHeight="1">
      <c r="B399" s="55"/>
    </row>
    <row r="400" ht="15.75" customHeight="1">
      <c r="B400" s="55"/>
    </row>
    <row r="401" ht="15.75" customHeight="1">
      <c r="B401" s="55"/>
    </row>
    <row r="402" ht="15.75" customHeight="1">
      <c r="B402" s="55"/>
    </row>
    <row r="403" ht="15.75" customHeight="1">
      <c r="B403" s="55"/>
    </row>
    <row r="404" ht="15.75" customHeight="1">
      <c r="B404" s="55"/>
    </row>
    <row r="405" ht="15.75" customHeight="1">
      <c r="B405" s="55"/>
    </row>
    <row r="406" ht="15.75" customHeight="1">
      <c r="B406" s="55"/>
    </row>
    <row r="407" ht="15.75" customHeight="1">
      <c r="B407" s="55"/>
    </row>
    <row r="408" ht="15.75" customHeight="1">
      <c r="B408" s="55"/>
    </row>
    <row r="409" ht="15.75" customHeight="1">
      <c r="B409" s="55"/>
    </row>
    <row r="410" ht="15.75" customHeight="1">
      <c r="B410" s="55"/>
    </row>
    <row r="411" ht="15.75" customHeight="1">
      <c r="B411" s="55"/>
    </row>
    <row r="412" ht="15.75" customHeight="1">
      <c r="B412" s="55"/>
    </row>
    <row r="413" ht="15.75" customHeight="1">
      <c r="B413" s="55"/>
    </row>
    <row r="414" ht="15.75" customHeight="1">
      <c r="B414" s="55"/>
    </row>
    <row r="415" ht="15.75" customHeight="1">
      <c r="B415" s="55"/>
    </row>
    <row r="416" ht="15.75" customHeight="1">
      <c r="B416" s="55"/>
    </row>
    <row r="417" ht="15.75" customHeight="1">
      <c r="B417" s="55"/>
    </row>
    <row r="418" ht="15.75" customHeight="1">
      <c r="B418" s="55"/>
    </row>
    <row r="419" ht="15.75" customHeight="1">
      <c r="B419" s="55"/>
    </row>
    <row r="420" ht="15.75" customHeight="1">
      <c r="B420" s="55"/>
    </row>
    <row r="421" ht="15.75" customHeight="1">
      <c r="B421" s="55"/>
    </row>
    <row r="422" ht="15.75" customHeight="1">
      <c r="B422" s="55"/>
    </row>
    <row r="423" ht="15.75" customHeight="1">
      <c r="B423" s="55"/>
    </row>
    <row r="424" ht="15.75" customHeight="1">
      <c r="B424" s="55"/>
    </row>
    <row r="425" ht="15.75" customHeight="1">
      <c r="B425" s="55"/>
    </row>
    <row r="426" ht="15.75" customHeight="1">
      <c r="B426" s="55"/>
    </row>
    <row r="427" ht="15.75" customHeight="1">
      <c r="B427" s="55"/>
    </row>
    <row r="428" ht="15.75" customHeight="1">
      <c r="B428" s="55"/>
    </row>
    <row r="429" ht="15.75" customHeight="1">
      <c r="B429" s="55"/>
    </row>
    <row r="430" ht="15.75" customHeight="1">
      <c r="B430" s="55"/>
    </row>
    <row r="431" ht="15.75" customHeight="1">
      <c r="B431" s="55"/>
    </row>
    <row r="432" ht="15.75" customHeight="1">
      <c r="B432" s="55"/>
    </row>
    <row r="433" ht="15.75" customHeight="1">
      <c r="B433" s="55"/>
    </row>
    <row r="434" ht="15.75" customHeight="1">
      <c r="B434" s="55"/>
    </row>
    <row r="435" ht="15.75" customHeight="1">
      <c r="B435" s="55"/>
    </row>
    <row r="436" ht="15.75" customHeight="1">
      <c r="B436" s="55"/>
    </row>
    <row r="437" ht="15.75" customHeight="1">
      <c r="B437" s="55"/>
    </row>
    <row r="438" ht="15.75" customHeight="1">
      <c r="B438" s="55"/>
    </row>
    <row r="439" ht="15.75" customHeight="1">
      <c r="B439" s="55"/>
    </row>
    <row r="440" ht="15.75" customHeight="1">
      <c r="B440" s="55"/>
    </row>
    <row r="441" ht="15.75" customHeight="1">
      <c r="B441" s="55"/>
    </row>
    <row r="442" ht="15.75" customHeight="1">
      <c r="B442" s="55"/>
    </row>
    <row r="443" ht="15.75" customHeight="1">
      <c r="B443" s="55"/>
    </row>
    <row r="444" ht="15.75" customHeight="1">
      <c r="B444" s="55"/>
    </row>
    <row r="445" ht="15.75" customHeight="1">
      <c r="B445" s="55"/>
    </row>
    <row r="446" ht="15.75" customHeight="1">
      <c r="B446" s="55"/>
    </row>
    <row r="447" ht="15.75" customHeight="1">
      <c r="B447" s="55"/>
    </row>
    <row r="448" ht="15.75" customHeight="1">
      <c r="B448" s="55"/>
    </row>
    <row r="449" ht="15.75" customHeight="1">
      <c r="B449" s="55"/>
    </row>
    <row r="450" ht="15.75" customHeight="1">
      <c r="B450" s="55"/>
    </row>
    <row r="451" ht="15.75" customHeight="1">
      <c r="B451" s="55"/>
    </row>
    <row r="452" ht="15.75" customHeight="1">
      <c r="B452" s="55"/>
    </row>
    <row r="453" ht="15.75" customHeight="1">
      <c r="B453" s="55"/>
    </row>
    <row r="454" ht="15.75" customHeight="1">
      <c r="B454" s="55"/>
    </row>
    <row r="455" ht="15.75" customHeight="1">
      <c r="B455" s="55"/>
    </row>
    <row r="456" ht="15.75" customHeight="1">
      <c r="B456" s="55"/>
    </row>
    <row r="457" ht="15.75" customHeight="1">
      <c r="B457" s="55"/>
    </row>
    <row r="458" ht="15.75" customHeight="1">
      <c r="B458" s="55"/>
    </row>
    <row r="459" ht="15.75" customHeight="1">
      <c r="B459" s="55"/>
    </row>
    <row r="460" ht="15.75" customHeight="1">
      <c r="B460" s="55"/>
    </row>
    <row r="461" ht="15.75" customHeight="1">
      <c r="B461" s="55"/>
    </row>
    <row r="462" ht="15.75" customHeight="1">
      <c r="B462" s="55"/>
    </row>
    <row r="463" ht="15.75" customHeight="1">
      <c r="B463" s="55"/>
    </row>
    <row r="464" ht="15.75" customHeight="1">
      <c r="B464" s="55"/>
    </row>
    <row r="465" ht="15.75" customHeight="1">
      <c r="B465" s="55"/>
    </row>
    <row r="466" ht="15.75" customHeight="1">
      <c r="B466" s="55"/>
    </row>
    <row r="467" ht="15.75" customHeight="1">
      <c r="B467" s="55"/>
    </row>
    <row r="468" ht="15.75" customHeight="1">
      <c r="B468" s="55"/>
    </row>
    <row r="469" ht="15.75" customHeight="1">
      <c r="B469" s="55"/>
    </row>
    <row r="470" ht="15.75" customHeight="1">
      <c r="B470" s="55"/>
    </row>
    <row r="471" ht="15.75" customHeight="1">
      <c r="B471" s="55"/>
    </row>
    <row r="472" ht="15.75" customHeight="1">
      <c r="B472" s="55"/>
    </row>
    <row r="473" ht="15.75" customHeight="1">
      <c r="B473" s="55"/>
    </row>
    <row r="474" ht="15.75" customHeight="1">
      <c r="B474" s="55"/>
    </row>
    <row r="475" ht="15.75" customHeight="1">
      <c r="B475" s="55"/>
    </row>
    <row r="476" ht="15.75" customHeight="1">
      <c r="B476" s="55"/>
    </row>
    <row r="477" ht="15.75" customHeight="1">
      <c r="B477" s="55"/>
    </row>
    <row r="478" ht="15.75" customHeight="1">
      <c r="B478" s="55"/>
    </row>
    <row r="479" ht="15.75" customHeight="1">
      <c r="B479" s="55"/>
    </row>
    <row r="480" ht="15.75" customHeight="1">
      <c r="B480" s="55"/>
    </row>
    <row r="481" ht="15.75" customHeight="1">
      <c r="B481" s="55"/>
    </row>
    <row r="482" ht="15.75" customHeight="1">
      <c r="B482" s="55"/>
    </row>
    <row r="483" ht="15.75" customHeight="1">
      <c r="B483" s="55"/>
    </row>
    <row r="484" ht="15.75" customHeight="1">
      <c r="B484" s="55"/>
    </row>
    <row r="485" ht="15.75" customHeight="1">
      <c r="B485" s="55"/>
    </row>
    <row r="486" ht="15.75" customHeight="1">
      <c r="B486" s="55"/>
    </row>
    <row r="487" ht="15.75" customHeight="1">
      <c r="B487" s="55"/>
    </row>
    <row r="488" ht="15.75" customHeight="1">
      <c r="B488" s="55"/>
    </row>
    <row r="489" ht="15.75" customHeight="1">
      <c r="B489" s="55"/>
    </row>
    <row r="490" ht="15.75" customHeight="1">
      <c r="B490" s="55"/>
    </row>
    <row r="491" ht="15.75" customHeight="1">
      <c r="B491" s="55"/>
    </row>
    <row r="492" ht="15.75" customHeight="1">
      <c r="B492" s="55"/>
    </row>
    <row r="493" ht="15.75" customHeight="1">
      <c r="B493" s="55"/>
    </row>
    <row r="494" ht="15.75" customHeight="1">
      <c r="B494" s="55"/>
    </row>
    <row r="495" ht="15.75" customHeight="1">
      <c r="B495" s="55"/>
    </row>
    <row r="496" ht="15.75" customHeight="1">
      <c r="B496" s="55"/>
    </row>
    <row r="497" ht="15.75" customHeight="1">
      <c r="B497" s="55"/>
    </row>
    <row r="498" ht="15.75" customHeight="1">
      <c r="B498" s="55"/>
    </row>
    <row r="499" ht="15.75" customHeight="1">
      <c r="B499" s="55"/>
    </row>
    <row r="500" ht="15.75" customHeight="1">
      <c r="B500" s="55"/>
    </row>
    <row r="501" ht="15.75" customHeight="1">
      <c r="B501" s="55"/>
    </row>
    <row r="502" ht="15.75" customHeight="1">
      <c r="B502" s="55"/>
    </row>
    <row r="503" ht="15.75" customHeight="1">
      <c r="B503" s="55"/>
    </row>
    <row r="504" ht="15.75" customHeight="1">
      <c r="B504" s="55"/>
    </row>
    <row r="505" ht="15.75" customHeight="1">
      <c r="B505" s="55"/>
    </row>
    <row r="506" ht="15.75" customHeight="1">
      <c r="B506" s="55"/>
    </row>
    <row r="507" ht="15.75" customHeight="1">
      <c r="B507" s="55"/>
    </row>
    <row r="508" ht="15.75" customHeight="1">
      <c r="B508" s="55"/>
    </row>
    <row r="509" ht="15.75" customHeight="1">
      <c r="B509" s="55"/>
    </row>
    <row r="510" ht="15.75" customHeight="1">
      <c r="B510" s="55"/>
    </row>
    <row r="511" ht="15.75" customHeight="1">
      <c r="B511" s="55"/>
    </row>
    <row r="512" ht="15.75" customHeight="1">
      <c r="B512" s="55"/>
    </row>
    <row r="513" ht="15.75" customHeight="1">
      <c r="B513" s="55"/>
    </row>
    <row r="514" ht="15.75" customHeight="1">
      <c r="B514" s="55"/>
    </row>
    <row r="515" ht="15.75" customHeight="1">
      <c r="B515" s="55"/>
    </row>
    <row r="516" ht="15.75" customHeight="1">
      <c r="B516" s="55"/>
    </row>
    <row r="517" ht="15.75" customHeight="1">
      <c r="B517" s="55"/>
    </row>
    <row r="518" ht="15.75" customHeight="1">
      <c r="B518" s="55"/>
    </row>
    <row r="519" ht="15.75" customHeight="1">
      <c r="B519" s="55"/>
    </row>
    <row r="520" ht="15.75" customHeight="1">
      <c r="B520" s="55"/>
    </row>
    <row r="521" ht="15.75" customHeight="1">
      <c r="B521" s="55"/>
    </row>
    <row r="522" ht="15.75" customHeight="1">
      <c r="B522" s="55"/>
    </row>
    <row r="523" ht="15.75" customHeight="1">
      <c r="B523" s="55"/>
    </row>
    <row r="524" ht="15.75" customHeight="1">
      <c r="B524" s="55"/>
    </row>
    <row r="525" ht="15.75" customHeight="1">
      <c r="B525" s="55"/>
    </row>
    <row r="526" ht="15.75" customHeight="1">
      <c r="B526" s="55"/>
    </row>
    <row r="527" ht="15.75" customHeight="1">
      <c r="B527" s="55"/>
    </row>
    <row r="528" ht="15.75" customHeight="1">
      <c r="B528" s="55"/>
    </row>
    <row r="529" ht="15.75" customHeight="1">
      <c r="B529" s="55"/>
    </row>
    <row r="530" ht="15.75" customHeight="1">
      <c r="B530" s="55"/>
    </row>
    <row r="531" ht="15.75" customHeight="1">
      <c r="B531" s="55"/>
    </row>
    <row r="532" ht="15.75" customHeight="1">
      <c r="B532" s="55"/>
    </row>
    <row r="533" ht="15.75" customHeight="1">
      <c r="B533" s="55"/>
    </row>
    <row r="534" ht="15.75" customHeight="1">
      <c r="B534" s="55"/>
    </row>
    <row r="535" ht="15.75" customHeight="1">
      <c r="B535" s="55"/>
    </row>
    <row r="536" ht="15.75" customHeight="1">
      <c r="B536" s="55"/>
    </row>
    <row r="537" ht="15.75" customHeight="1">
      <c r="B537" s="55"/>
    </row>
    <row r="538" ht="15.75" customHeight="1">
      <c r="B538" s="55"/>
    </row>
    <row r="539" ht="15.75" customHeight="1">
      <c r="B539" s="55"/>
    </row>
    <row r="540" ht="15.75" customHeight="1">
      <c r="B540" s="55"/>
    </row>
    <row r="541" ht="15.75" customHeight="1">
      <c r="B541" s="55"/>
    </row>
    <row r="542" ht="15.75" customHeight="1">
      <c r="B542" s="55"/>
    </row>
    <row r="543" ht="15.75" customHeight="1">
      <c r="B543" s="55"/>
    </row>
    <row r="544" ht="15.75" customHeight="1">
      <c r="B544" s="55"/>
    </row>
    <row r="545" ht="15.75" customHeight="1">
      <c r="B545" s="55"/>
    </row>
    <row r="546" ht="15.75" customHeight="1">
      <c r="B546" s="55"/>
    </row>
    <row r="547" ht="15.75" customHeight="1">
      <c r="B547" s="55"/>
    </row>
    <row r="548" ht="15.75" customHeight="1">
      <c r="B548" s="55"/>
    </row>
    <row r="549" ht="15.75" customHeight="1">
      <c r="B549" s="55"/>
    </row>
    <row r="550" ht="15.75" customHeight="1">
      <c r="B550" s="55"/>
    </row>
    <row r="551" ht="15.75" customHeight="1">
      <c r="B551" s="55"/>
    </row>
    <row r="552" ht="15.75" customHeight="1">
      <c r="B552" s="55"/>
    </row>
    <row r="553" ht="15.75" customHeight="1">
      <c r="B553" s="55"/>
    </row>
    <row r="554" ht="15.75" customHeight="1">
      <c r="B554" s="55"/>
    </row>
    <row r="555" ht="15.75" customHeight="1">
      <c r="B555" s="55"/>
    </row>
    <row r="556" ht="15.75" customHeight="1">
      <c r="B556" s="55"/>
    </row>
    <row r="557" ht="15.75" customHeight="1">
      <c r="B557" s="55"/>
    </row>
    <row r="558" ht="15.75" customHeight="1">
      <c r="B558" s="55"/>
    </row>
    <row r="559" ht="15.75" customHeight="1">
      <c r="B559" s="55"/>
    </row>
    <row r="560" ht="15.75" customHeight="1">
      <c r="B560" s="55"/>
    </row>
    <row r="561" ht="15.75" customHeight="1">
      <c r="B561" s="55"/>
    </row>
    <row r="562" ht="15.75" customHeight="1">
      <c r="B562" s="55"/>
    </row>
    <row r="563" ht="15.75" customHeight="1">
      <c r="B563" s="55"/>
    </row>
    <row r="564" ht="15.75" customHeight="1">
      <c r="B564" s="55"/>
    </row>
    <row r="565" ht="15.75" customHeight="1">
      <c r="B565" s="55"/>
    </row>
    <row r="566" ht="15.75" customHeight="1">
      <c r="B566" s="55"/>
    </row>
    <row r="567" ht="15.75" customHeight="1">
      <c r="B567" s="55"/>
    </row>
    <row r="568" ht="15.75" customHeight="1">
      <c r="B568" s="55"/>
    </row>
    <row r="569" ht="15.75" customHeight="1">
      <c r="B569" s="55"/>
    </row>
    <row r="570" ht="15.75" customHeight="1">
      <c r="B570" s="55"/>
    </row>
    <row r="571" ht="15.75" customHeight="1">
      <c r="B571" s="55"/>
    </row>
    <row r="572" ht="15.75" customHeight="1">
      <c r="B572" s="55"/>
    </row>
    <row r="573" ht="15.75" customHeight="1">
      <c r="B573" s="55"/>
    </row>
    <row r="574" ht="15.75" customHeight="1">
      <c r="B574" s="55"/>
    </row>
    <row r="575" ht="15.75" customHeight="1">
      <c r="B575" s="55"/>
    </row>
    <row r="576" ht="15.75" customHeight="1">
      <c r="B576" s="55"/>
    </row>
    <row r="577" ht="15.75" customHeight="1">
      <c r="B577" s="55"/>
    </row>
    <row r="578" ht="15.75" customHeight="1">
      <c r="B578" s="55"/>
    </row>
    <row r="579" ht="15.75" customHeight="1">
      <c r="B579" s="55"/>
    </row>
    <row r="580" ht="15.75" customHeight="1">
      <c r="B580" s="55"/>
    </row>
    <row r="581" ht="15.75" customHeight="1">
      <c r="B581" s="55"/>
    </row>
    <row r="582" ht="15.75" customHeight="1">
      <c r="B582" s="55"/>
    </row>
    <row r="583" ht="15.75" customHeight="1">
      <c r="B583" s="55"/>
    </row>
    <row r="584" ht="15.75" customHeight="1">
      <c r="B584" s="55"/>
    </row>
    <row r="585" ht="15.75" customHeight="1">
      <c r="B585" s="55"/>
    </row>
    <row r="586" ht="15.75" customHeight="1">
      <c r="B586" s="55"/>
    </row>
    <row r="587" ht="15.75" customHeight="1">
      <c r="B587" s="55"/>
    </row>
    <row r="588" ht="15.75" customHeight="1">
      <c r="B588" s="55"/>
    </row>
    <row r="589" ht="15.75" customHeight="1">
      <c r="B589" s="55"/>
    </row>
    <row r="590" ht="15.75" customHeight="1">
      <c r="B590" s="55"/>
    </row>
    <row r="591" ht="15.75" customHeight="1">
      <c r="B591" s="55"/>
    </row>
    <row r="592" ht="15.75" customHeight="1">
      <c r="B592" s="55"/>
    </row>
    <row r="593" ht="15.75" customHeight="1">
      <c r="B593" s="55"/>
    </row>
    <row r="594" ht="15.75" customHeight="1">
      <c r="B594" s="55"/>
    </row>
    <row r="595" ht="15.75" customHeight="1">
      <c r="B595" s="55"/>
    </row>
    <row r="596" ht="15.75" customHeight="1">
      <c r="B596" s="55"/>
    </row>
    <row r="597" ht="15.75" customHeight="1">
      <c r="B597" s="55"/>
    </row>
    <row r="598" ht="15.75" customHeight="1">
      <c r="B598" s="55"/>
    </row>
    <row r="599" ht="15.75" customHeight="1">
      <c r="B599" s="55"/>
    </row>
    <row r="600" ht="15.75" customHeight="1">
      <c r="B600" s="55"/>
    </row>
    <row r="601" ht="15.75" customHeight="1">
      <c r="B601" s="55"/>
    </row>
    <row r="602" ht="15.75" customHeight="1">
      <c r="B602" s="55"/>
    </row>
    <row r="603" ht="15.75" customHeight="1">
      <c r="B603" s="55"/>
    </row>
    <row r="604" ht="15.75" customHeight="1">
      <c r="B604" s="55"/>
    </row>
    <row r="605" ht="15.75" customHeight="1">
      <c r="B605" s="55"/>
    </row>
    <row r="606" ht="15.75" customHeight="1">
      <c r="B606" s="55"/>
    </row>
    <row r="607" ht="15.75" customHeight="1">
      <c r="B607" s="55"/>
    </row>
    <row r="608" ht="15.75" customHeight="1">
      <c r="B608" s="55"/>
    </row>
    <row r="609" ht="15.75" customHeight="1">
      <c r="B609" s="55"/>
    </row>
    <row r="610" ht="15.75" customHeight="1">
      <c r="B610" s="55"/>
    </row>
    <row r="611" ht="15.75" customHeight="1">
      <c r="B611" s="55"/>
    </row>
    <row r="612" ht="15.75" customHeight="1">
      <c r="B612" s="55"/>
    </row>
    <row r="613" ht="15.75" customHeight="1">
      <c r="B613" s="55"/>
    </row>
    <row r="614" ht="15.75" customHeight="1">
      <c r="B614" s="55"/>
    </row>
    <row r="615" ht="15.75" customHeight="1">
      <c r="B615" s="55"/>
    </row>
    <row r="616" ht="15.75" customHeight="1">
      <c r="B616" s="55"/>
    </row>
    <row r="617" ht="15.75" customHeight="1">
      <c r="B617" s="55"/>
    </row>
    <row r="618" ht="15.75" customHeight="1">
      <c r="B618" s="55"/>
    </row>
    <row r="619" ht="15.75" customHeight="1">
      <c r="B619" s="55"/>
    </row>
    <row r="620" ht="15.75" customHeight="1">
      <c r="B620" s="55"/>
    </row>
    <row r="621" ht="15.75" customHeight="1">
      <c r="B621" s="55"/>
    </row>
    <row r="622" ht="15.75" customHeight="1">
      <c r="B622" s="55"/>
    </row>
    <row r="623" ht="15.75" customHeight="1">
      <c r="B623" s="55"/>
    </row>
    <row r="624" ht="15.75" customHeight="1">
      <c r="B624" s="55"/>
    </row>
    <row r="625" ht="15.75" customHeight="1">
      <c r="B625" s="55"/>
    </row>
    <row r="626" ht="15.75" customHeight="1">
      <c r="B626" s="55"/>
    </row>
    <row r="627" ht="15.75" customHeight="1">
      <c r="B627" s="55"/>
    </row>
    <row r="628" ht="15.75" customHeight="1">
      <c r="B628" s="55"/>
    </row>
    <row r="629" ht="15.75" customHeight="1">
      <c r="B629" s="55"/>
    </row>
    <row r="630" ht="15.75" customHeight="1">
      <c r="B630" s="55"/>
    </row>
    <row r="631" ht="15.75" customHeight="1">
      <c r="B631" s="55"/>
    </row>
    <row r="632" ht="15.75" customHeight="1">
      <c r="B632" s="55"/>
    </row>
    <row r="633" ht="15.75" customHeight="1">
      <c r="B633" s="55"/>
    </row>
    <row r="634" ht="15.75" customHeight="1">
      <c r="B634" s="55"/>
    </row>
    <row r="635" ht="15.75" customHeight="1">
      <c r="B635" s="55"/>
    </row>
    <row r="636" ht="15.75" customHeight="1">
      <c r="B636" s="55"/>
    </row>
    <row r="637" ht="15.75" customHeight="1">
      <c r="B637" s="55"/>
    </row>
    <row r="638" ht="15.75" customHeight="1">
      <c r="B638" s="55"/>
    </row>
    <row r="639" ht="15.75" customHeight="1">
      <c r="B639" s="55"/>
    </row>
    <row r="640" ht="15.75" customHeight="1">
      <c r="B640" s="55"/>
    </row>
    <row r="641" ht="15.75" customHeight="1">
      <c r="B641" s="55"/>
    </row>
    <row r="642" ht="15.75" customHeight="1">
      <c r="B642" s="55"/>
    </row>
    <row r="643" ht="15.75" customHeight="1">
      <c r="B643" s="55"/>
    </row>
    <row r="644" ht="15.75" customHeight="1">
      <c r="B644" s="55"/>
    </row>
    <row r="645" ht="15.75" customHeight="1">
      <c r="B645" s="55"/>
    </row>
    <row r="646" ht="15.75" customHeight="1">
      <c r="B646" s="55"/>
    </row>
    <row r="647" ht="15.75" customHeight="1">
      <c r="B647" s="55"/>
    </row>
    <row r="648" ht="15.75" customHeight="1">
      <c r="B648" s="55"/>
    </row>
    <row r="649" ht="15.75" customHeight="1">
      <c r="B649" s="55"/>
    </row>
    <row r="650" ht="15.75" customHeight="1">
      <c r="B650" s="55"/>
    </row>
    <row r="651" ht="15.75" customHeight="1">
      <c r="B651" s="55"/>
    </row>
    <row r="652" ht="15.75" customHeight="1">
      <c r="B652" s="55"/>
    </row>
    <row r="653" ht="15.75" customHeight="1">
      <c r="B653" s="55"/>
    </row>
    <row r="654" ht="15.75" customHeight="1">
      <c r="B654" s="55"/>
    </row>
    <row r="655" ht="15.75" customHeight="1">
      <c r="B655" s="55"/>
    </row>
    <row r="656" ht="15.75" customHeight="1">
      <c r="B656" s="55"/>
    </row>
    <row r="657" ht="15.75" customHeight="1">
      <c r="B657" s="55"/>
    </row>
    <row r="658" ht="15.75" customHeight="1">
      <c r="B658" s="55"/>
    </row>
    <row r="659" ht="15.75" customHeight="1">
      <c r="B659" s="55"/>
    </row>
    <row r="660" ht="15.75" customHeight="1">
      <c r="B660" s="55"/>
    </row>
    <row r="661" ht="15.75" customHeight="1">
      <c r="B661" s="55"/>
    </row>
    <row r="662" ht="15.75" customHeight="1">
      <c r="B662" s="55"/>
    </row>
    <row r="663" ht="15.75" customHeight="1">
      <c r="B663" s="55"/>
    </row>
    <row r="664" ht="15.75" customHeight="1">
      <c r="B664" s="55"/>
    </row>
    <row r="665" ht="15.75" customHeight="1">
      <c r="B665" s="55"/>
    </row>
    <row r="666" ht="15.75" customHeight="1">
      <c r="B666" s="55"/>
    </row>
    <row r="667" ht="15.75" customHeight="1">
      <c r="B667" s="55"/>
    </row>
    <row r="668" ht="15.75" customHeight="1">
      <c r="B668" s="55"/>
    </row>
    <row r="669" ht="15.75" customHeight="1">
      <c r="B669" s="55"/>
    </row>
    <row r="670" ht="15.75" customHeight="1">
      <c r="B670" s="55"/>
    </row>
    <row r="671" ht="15.75" customHeight="1">
      <c r="B671" s="55"/>
    </row>
    <row r="672" ht="15.75" customHeight="1">
      <c r="B672" s="55"/>
    </row>
    <row r="673" ht="15.75" customHeight="1">
      <c r="B673" s="55"/>
    </row>
    <row r="674" ht="15.75" customHeight="1">
      <c r="B674" s="55"/>
    </row>
    <row r="675" ht="15.75" customHeight="1">
      <c r="B675" s="55"/>
    </row>
    <row r="676" ht="15.75" customHeight="1">
      <c r="B676" s="55"/>
    </row>
    <row r="677" ht="15.75" customHeight="1">
      <c r="B677" s="55"/>
    </row>
    <row r="678" ht="15.75" customHeight="1">
      <c r="B678" s="55"/>
    </row>
    <row r="679" ht="15.75" customHeight="1">
      <c r="B679" s="55"/>
    </row>
    <row r="680" ht="15.75" customHeight="1">
      <c r="B680" s="55"/>
    </row>
    <row r="681" ht="15.75" customHeight="1">
      <c r="B681" s="55"/>
    </row>
    <row r="682" ht="15.75" customHeight="1">
      <c r="B682" s="55"/>
    </row>
    <row r="683" ht="15.75" customHeight="1">
      <c r="B683" s="55"/>
    </row>
    <row r="684" ht="15.75" customHeight="1">
      <c r="B684" s="55"/>
    </row>
    <row r="685" ht="15.75" customHeight="1">
      <c r="B685" s="55"/>
    </row>
    <row r="686" ht="15.75" customHeight="1">
      <c r="B686" s="55"/>
    </row>
    <row r="687" ht="15.75" customHeight="1">
      <c r="B687" s="55"/>
    </row>
    <row r="688" ht="15.75" customHeight="1">
      <c r="B688" s="55"/>
    </row>
    <row r="689" ht="15.75" customHeight="1">
      <c r="B689" s="55"/>
    </row>
    <row r="690" ht="15.75" customHeight="1">
      <c r="B690" s="55"/>
    </row>
    <row r="691" ht="15.75" customHeight="1">
      <c r="B691" s="55"/>
    </row>
    <row r="692" ht="15.75" customHeight="1">
      <c r="B692" s="55"/>
    </row>
    <row r="693" ht="15.75" customHeight="1">
      <c r="B693" s="55"/>
    </row>
    <row r="694" ht="15.75" customHeight="1">
      <c r="B694" s="55"/>
    </row>
    <row r="695" ht="15.75" customHeight="1">
      <c r="B695" s="55"/>
    </row>
    <row r="696" ht="15.75" customHeight="1">
      <c r="B696" s="55"/>
    </row>
    <row r="697" ht="15.75" customHeight="1">
      <c r="B697" s="55"/>
    </row>
    <row r="698" ht="15.75" customHeight="1">
      <c r="B698" s="55"/>
    </row>
    <row r="699" ht="15.75" customHeight="1">
      <c r="B699" s="55"/>
    </row>
    <row r="700" ht="15.75" customHeight="1">
      <c r="B700" s="55"/>
    </row>
    <row r="701" ht="15.75" customHeight="1">
      <c r="B701" s="55"/>
    </row>
    <row r="702" ht="15.75" customHeight="1">
      <c r="B702" s="55"/>
    </row>
    <row r="703" ht="15.75" customHeight="1">
      <c r="B703" s="55"/>
    </row>
    <row r="704" ht="15.75" customHeight="1">
      <c r="B704" s="55"/>
    </row>
    <row r="705" ht="15.75" customHeight="1">
      <c r="B705" s="55"/>
    </row>
    <row r="706" ht="15.75" customHeight="1">
      <c r="B706" s="55"/>
    </row>
    <row r="707" ht="15.75" customHeight="1">
      <c r="B707" s="55"/>
    </row>
    <row r="708" ht="15.75" customHeight="1">
      <c r="B708" s="55"/>
    </row>
    <row r="709" ht="15.75" customHeight="1">
      <c r="B709" s="55"/>
    </row>
    <row r="710" ht="15.75" customHeight="1">
      <c r="B710" s="55"/>
    </row>
    <row r="711" ht="15.75" customHeight="1">
      <c r="B711" s="55"/>
    </row>
    <row r="712" ht="15.75" customHeight="1">
      <c r="B712" s="55"/>
    </row>
    <row r="713" ht="15.75" customHeight="1">
      <c r="B713" s="55"/>
    </row>
    <row r="714" ht="15.75" customHeight="1">
      <c r="B714" s="55"/>
    </row>
    <row r="715" ht="15.75" customHeight="1">
      <c r="B715" s="55"/>
    </row>
    <row r="716" ht="15.75" customHeight="1">
      <c r="B716" s="55"/>
    </row>
    <row r="717" ht="15.75" customHeight="1">
      <c r="B717" s="55"/>
    </row>
    <row r="718" ht="15.75" customHeight="1">
      <c r="B718" s="55"/>
    </row>
    <row r="719" ht="15.75" customHeight="1">
      <c r="B719" s="55"/>
    </row>
    <row r="720" ht="15.75" customHeight="1">
      <c r="B720" s="55"/>
    </row>
    <row r="721" ht="15.75" customHeight="1">
      <c r="B721" s="55"/>
    </row>
    <row r="722" ht="15.75" customHeight="1">
      <c r="B722" s="55"/>
    </row>
    <row r="723" ht="15.75" customHeight="1">
      <c r="B723" s="55"/>
    </row>
    <row r="724" ht="15.75" customHeight="1">
      <c r="B724" s="55"/>
    </row>
    <row r="725" ht="15.75" customHeight="1">
      <c r="B725" s="55"/>
    </row>
    <row r="726" ht="15.75" customHeight="1">
      <c r="B726" s="55"/>
    </row>
    <row r="727" ht="15.75" customHeight="1">
      <c r="B727" s="55"/>
    </row>
    <row r="728" ht="15.75" customHeight="1">
      <c r="B728" s="55"/>
    </row>
    <row r="729" ht="15.75" customHeight="1">
      <c r="B729" s="55"/>
    </row>
    <row r="730" ht="15.75" customHeight="1">
      <c r="B730" s="55"/>
    </row>
    <row r="731" ht="15.75" customHeight="1">
      <c r="B731" s="55"/>
    </row>
    <row r="732" ht="15.75" customHeight="1">
      <c r="B732" s="55"/>
    </row>
    <row r="733" ht="15.75" customHeight="1">
      <c r="B733" s="55"/>
    </row>
    <row r="734" ht="15.75" customHeight="1">
      <c r="B734" s="55"/>
    </row>
    <row r="735" ht="15.75" customHeight="1">
      <c r="B735" s="55"/>
    </row>
    <row r="736" ht="15.75" customHeight="1">
      <c r="B736" s="55"/>
    </row>
    <row r="737" ht="15.75" customHeight="1">
      <c r="B737" s="55"/>
    </row>
    <row r="738" ht="15.75" customHeight="1">
      <c r="B738" s="55"/>
    </row>
    <row r="739" ht="15.75" customHeight="1">
      <c r="B739" s="55"/>
    </row>
    <row r="740" ht="15.75" customHeight="1">
      <c r="B740" s="55"/>
    </row>
    <row r="741" ht="15.75" customHeight="1">
      <c r="B741" s="55"/>
    </row>
    <row r="742" ht="15.75" customHeight="1">
      <c r="B742" s="55"/>
    </row>
    <row r="743" ht="15.75" customHeight="1">
      <c r="B743" s="55"/>
    </row>
    <row r="744" ht="15.75" customHeight="1">
      <c r="B744" s="55"/>
    </row>
    <row r="745" ht="15.75" customHeight="1">
      <c r="B745" s="55"/>
    </row>
    <row r="746" ht="15.75" customHeight="1">
      <c r="B746" s="55"/>
    </row>
    <row r="747" ht="15.75" customHeight="1">
      <c r="B747" s="55"/>
    </row>
    <row r="748" ht="15.75" customHeight="1">
      <c r="B748" s="55"/>
    </row>
    <row r="749" ht="15.75" customHeight="1">
      <c r="B749" s="55"/>
    </row>
    <row r="750" ht="15.75" customHeight="1">
      <c r="B750" s="55"/>
    </row>
    <row r="751" ht="15.75" customHeight="1">
      <c r="B751" s="55"/>
    </row>
    <row r="752" ht="15.75" customHeight="1">
      <c r="B752" s="55"/>
    </row>
    <row r="753" ht="15.75" customHeight="1">
      <c r="B753" s="55"/>
    </row>
    <row r="754" ht="15.75" customHeight="1">
      <c r="B754" s="55"/>
    </row>
    <row r="755" ht="15.75" customHeight="1">
      <c r="B755" s="55"/>
    </row>
    <row r="756" ht="15.75" customHeight="1">
      <c r="B756" s="55"/>
    </row>
    <row r="757" ht="15.75" customHeight="1">
      <c r="B757" s="55"/>
    </row>
    <row r="758" ht="15.75" customHeight="1">
      <c r="B758" s="55"/>
    </row>
    <row r="759" ht="15.75" customHeight="1">
      <c r="B759" s="55"/>
    </row>
    <row r="760" ht="15.75" customHeight="1">
      <c r="B760" s="55"/>
    </row>
    <row r="761" ht="15.75" customHeight="1">
      <c r="B761" s="55"/>
    </row>
    <row r="762" ht="15.75" customHeight="1">
      <c r="B762" s="55"/>
    </row>
    <row r="763" ht="15.75" customHeight="1">
      <c r="B763" s="55"/>
    </row>
    <row r="764" ht="15.75" customHeight="1">
      <c r="B764" s="55"/>
    </row>
    <row r="765" ht="15.75" customHeight="1">
      <c r="B765" s="55"/>
    </row>
    <row r="766" ht="15.75" customHeight="1">
      <c r="B766" s="55"/>
    </row>
    <row r="767" ht="15.75" customHeight="1">
      <c r="B767" s="55"/>
    </row>
    <row r="768" ht="15.75" customHeight="1">
      <c r="B768" s="55"/>
    </row>
    <row r="769" ht="15.75" customHeight="1">
      <c r="B769" s="55"/>
    </row>
    <row r="770" ht="15.75" customHeight="1">
      <c r="B770" s="55"/>
    </row>
    <row r="771" ht="15.75" customHeight="1">
      <c r="B771" s="55"/>
    </row>
    <row r="772" ht="15.75" customHeight="1">
      <c r="B772" s="55"/>
    </row>
    <row r="773" ht="15.75" customHeight="1">
      <c r="B773" s="55"/>
    </row>
    <row r="774" ht="15.75" customHeight="1">
      <c r="B774" s="55"/>
    </row>
    <row r="775" ht="15.75" customHeight="1">
      <c r="B775" s="55"/>
    </row>
    <row r="776" ht="15.75" customHeight="1">
      <c r="B776" s="55"/>
    </row>
    <row r="777" ht="15.75" customHeight="1">
      <c r="B777" s="55"/>
    </row>
    <row r="778" ht="15.75" customHeight="1">
      <c r="B778" s="55"/>
    </row>
    <row r="779" ht="15.75" customHeight="1">
      <c r="B779" s="55"/>
    </row>
    <row r="780" ht="15.75" customHeight="1">
      <c r="B780" s="55"/>
    </row>
    <row r="781" ht="15.75" customHeight="1">
      <c r="B781" s="55"/>
    </row>
    <row r="782" ht="15.75" customHeight="1">
      <c r="B782" s="55"/>
    </row>
    <row r="783" ht="15.75" customHeight="1">
      <c r="B783" s="55"/>
    </row>
    <row r="784" ht="15.75" customHeight="1">
      <c r="B784" s="55"/>
    </row>
    <row r="785" ht="15.75" customHeight="1">
      <c r="B785" s="55"/>
    </row>
    <row r="786" ht="15.75" customHeight="1">
      <c r="B786" s="55"/>
    </row>
    <row r="787" ht="15.75" customHeight="1">
      <c r="B787" s="55"/>
    </row>
    <row r="788" ht="15.75" customHeight="1">
      <c r="B788" s="55"/>
    </row>
    <row r="789" ht="15.75" customHeight="1">
      <c r="B789" s="55"/>
    </row>
    <row r="790" ht="15.75" customHeight="1">
      <c r="B790" s="55"/>
    </row>
    <row r="791" ht="15.75" customHeight="1">
      <c r="B791" s="55"/>
    </row>
    <row r="792" ht="15.75" customHeight="1">
      <c r="B792" s="55"/>
    </row>
    <row r="793" ht="15.75" customHeight="1">
      <c r="B793" s="55"/>
    </row>
    <row r="794" ht="15.75" customHeight="1">
      <c r="B794" s="55"/>
    </row>
    <row r="795" ht="15.75" customHeight="1">
      <c r="B795" s="55"/>
    </row>
    <row r="796" ht="15.75" customHeight="1">
      <c r="B796" s="55"/>
    </row>
    <row r="797" ht="15.75" customHeight="1">
      <c r="B797" s="55"/>
    </row>
    <row r="798" ht="15.75" customHeight="1">
      <c r="B798" s="55"/>
    </row>
    <row r="799" ht="15.75" customHeight="1">
      <c r="B799" s="55"/>
    </row>
    <row r="800" ht="15.75" customHeight="1">
      <c r="B800" s="55"/>
    </row>
    <row r="801" ht="15.75" customHeight="1">
      <c r="B801" s="55"/>
    </row>
    <row r="802" ht="15.75" customHeight="1">
      <c r="B802" s="55"/>
    </row>
    <row r="803" ht="15.75" customHeight="1">
      <c r="B803" s="55"/>
    </row>
    <row r="804" ht="15.75" customHeight="1">
      <c r="B804" s="55"/>
    </row>
    <row r="805" ht="15.75" customHeight="1">
      <c r="B805" s="55"/>
    </row>
    <row r="806" ht="15.75" customHeight="1">
      <c r="B806" s="55"/>
    </row>
    <row r="807" ht="15.75" customHeight="1">
      <c r="B807" s="55"/>
    </row>
    <row r="808" ht="15.75" customHeight="1">
      <c r="B808" s="55"/>
    </row>
    <row r="809" ht="15.75" customHeight="1">
      <c r="B809" s="55"/>
    </row>
    <row r="810" ht="15.75" customHeight="1">
      <c r="B810" s="55"/>
    </row>
    <row r="811" ht="15.75" customHeight="1">
      <c r="B811" s="55"/>
    </row>
    <row r="812" ht="15.75" customHeight="1">
      <c r="B812" s="55"/>
    </row>
    <row r="813" ht="15.75" customHeight="1">
      <c r="B813" s="55"/>
    </row>
    <row r="814" ht="15.75" customHeight="1">
      <c r="B814" s="55"/>
    </row>
    <row r="815" ht="15.75" customHeight="1">
      <c r="B815" s="55"/>
    </row>
    <row r="816" ht="15.75" customHeight="1">
      <c r="B816" s="55"/>
    </row>
    <row r="817" ht="15.75" customHeight="1">
      <c r="B817" s="55"/>
    </row>
    <row r="818" ht="15.75" customHeight="1">
      <c r="B818" s="55"/>
    </row>
    <row r="819" ht="15.75" customHeight="1">
      <c r="B819" s="55"/>
    </row>
    <row r="820" ht="15.75" customHeight="1">
      <c r="B820" s="55"/>
    </row>
    <row r="821" ht="15.75" customHeight="1">
      <c r="B821" s="55"/>
    </row>
    <row r="822" ht="15.75" customHeight="1">
      <c r="B822" s="55"/>
    </row>
    <row r="823" ht="15.75" customHeight="1">
      <c r="B823" s="55"/>
    </row>
    <row r="824" ht="15.75" customHeight="1">
      <c r="B824" s="55"/>
    </row>
    <row r="825" ht="15.75" customHeight="1">
      <c r="B825" s="55"/>
    </row>
    <row r="826" ht="15.75" customHeight="1">
      <c r="B826" s="55"/>
    </row>
    <row r="827" ht="15.75" customHeight="1">
      <c r="B827" s="55"/>
    </row>
    <row r="828" ht="15.75" customHeight="1">
      <c r="B828" s="55"/>
    </row>
    <row r="829" ht="15.75" customHeight="1">
      <c r="B829" s="55"/>
    </row>
    <row r="830" ht="15.75" customHeight="1">
      <c r="B830" s="55"/>
    </row>
    <row r="831" ht="15.75" customHeight="1">
      <c r="B831" s="55"/>
    </row>
    <row r="832" ht="15.75" customHeight="1">
      <c r="B832" s="55"/>
    </row>
    <row r="833" ht="15.75" customHeight="1">
      <c r="B833" s="55"/>
    </row>
    <row r="834" ht="15.75" customHeight="1">
      <c r="B834" s="55"/>
    </row>
    <row r="835" ht="15.75" customHeight="1">
      <c r="B835" s="55"/>
    </row>
    <row r="836" ht="15.75" customHeight="1">
      <c r="B836" s="55"/>
    </row>
    <row r="837" ht="15.75" customHeight="1">
      <c r="B837" s="55"/>
    </row>
    <row r="838" ht="15.75" customHeight="1">
      <c r="B838" s="55"/>
    </row>
    <row r="839" ht="15.75" customHeight="1">
      <c r="B839" s="55"/>
    </row>
    <row r="840" ht="15.75" customHeight="1">
      <c r="B840" s="55"/>
    </row>
    <row r="841" ht="15.75" customHeight="1">
      <c r="B841" s="55"/>
    </row>
    <row r="842" ht="15.75" customHeight="1">
      <c r="B842" s="55"/>
    </row>
    <row r="843" ht="15.75" customHeight="1">
      <c r="B843" s="55"/>
    </row>
    <row r="844" ht="15.75" customHeight="1">
      <c r="B844" s="55"/>
    </row>
    <row r="845" ht="15.75" customHeight="1">
      <c r="B845" s="55"/>
    </row>
    <row r="846" ht="15.75" customHeight="1">
      <c r="B846" s="55"/>
    </row>
    <row r="847" ht="15.75" customHeight="1">
      <c r="B847" s="55"/>
    </row>
    <row r="848" ht="15.75" customHeight="1">
      <c r="B848" s="55"/>
    </row>
    <row r="849" ht="15.75" customHeight="1">
      <c r="B849" s="55"/>
    </row>
    <row r="850" ht="15.75" customHeight="1">
      <c r="B850" s="55"/>
    </row>
    <row r="851" ht="15.75" customHeight="1">
      <c r="B851" s="55"/>
    </row>
    <row r="852" ht="15.75" customHeight="1">
      <c r="B852" s="55"/>
    </row>
    <row r="853" ht="15.75" customHeight="1">
      <c r="B853" s="55"/>
    </row>
    <row r="854" ht="15.75" customHeight="1">
      <c r="B854" s="55"/>
    </row>
    <row r="855" ht="15.75" customHeight="1">
      <c r="B855" s="55"/>
    </row>
    <row r="856" ht="15.75" customHeight="1">
      <c r="B856" s="55"/>
    </row>
    <row r="857" ht="15.75" customHeight="1">
      <c r="B857" s="55"/>
    </row>
    <row r="858" ht="15.75" customHeight="1">
      <c r="B858" s="55"/>
    </row>
    <row r="859" ht="15.75" customHeight="1">
      <c r="B859" s="55"/>
    </row>
    <row r="860" ht="15.75" customHeight="1">
      <c r="B860" s="55"/>
    </row>
    <row r="861" ht="15.75" customHeight="1">
      <c r="B861" s="55"/>
    </row>
    <row r="862" ht="15.75" customHeight="1">
      <c r="B862" s="55"/>
    </row>
    <row r="863" ht="15.75" customHeight="1">
      <c r="B863" s="55"/>
    </row>
    <row r="864" ht="15.75" customHeight="1">
      <c r="B864" s="55"/>
    </row>
    <row r="865" ht="15.75" customHeight="1">
      <c r="B865" s="55"/>
    </row>
    <row r="866" ht="15.75" customHeight="1">
      <c r="B866" s="55"/>
    </row>
    <row r="867" ht="15.75" customHeight="1">
      <c r="B867" s="55"/>
    </row>
    <row r="868" ht="15.75" customHeight="1">
      <c r="B868" s="55"/>
    </row>
    <row r="869" ht="15.75" customHeight="1">
      <c r="B869" s="55"/>
    </row>
    <row r="870" ht="15.75" customHeight="1">
      <c r="B870" s="55"/>
    </row>
    <row r="871" ht="15.75" customHeight="1">
      <c r="B871" s="55"/>
    </row>
    <row r="872" ht="15.75" customHeight="1">
      <c r="B872" s="55"/>
    </row>
    <row r="873" ht="15.75" customHeight="1">
      <c r="B873" s="55"/>
    </row>
    <row r="874" ht="15.75" customHeight="1">
      <c r="B874" s="55"/>
    </row>
    <row r="875" ht="15.75" customHeight="1">
      <c r="B875" s="55"/>
    </row>
    <row r="876" ht="15.75" customHeight="1">
      <c r="B876" s="55"/>
    </row>
    <row r="877" ht="15.75" customHeight="1">
      <c r="B877" s="55"/>
    </row>
    <row r="878" ht="15.75" customHeight="1">
      <c r="B878" s="55"/>
    </row>
    <row r="879" ht="15.75" customHeight="1">
      <c r="B879" s="55"/>
    </row>
    <row r="880" ht="15.75" customHeight="1">
      <c r="B880" s="55"/>
    </row>
    <row r="881" ht="15.75" customHeight="1">
      <c r="B881" s="55"/>
    </row>
    <row r="882" ht="15.75" customHeight="1">
      <c r="B882" s="55"/>
    </row>
    <row r="883" ht="15.75" customHeight="1">
      <c r="B883" s="55"/>
    </row>
    <row r="884" ht="15.75" customHeight="1">
      <c r="B884" s="55"/>
    </row>
    <row r="885" ht="15.75" customHeight="1">
      <c r="B885" s="55"/>
    </row>
    <row r="886" ht="15.75" customHeight="1">
      <c r="B886" s="55"/>
    </row>
    <row r="887" ht="15.75" customHeight="1">
      <c r="B887" s="55"/>
    </row>
    <row r="888" ht="15.75" customHeight="1">
      <c r="B888" s="55"/>
    </row>
    <row r="889" ht="15.75" customHeight="1">
      <c r="B889" s="55"/>
    </row>
    <row r="890" ht="15.75" customHeight="1">
      <c r="B890" s="55"/>
    </row>
    <row r="891" ht="15.75" customHeight="1">
      <c r="B891" s="55"/>
    </row>
    <row r="892" ht="15.75" customHeight="1">
      <c r="B892" s="55"/>
    </row>
    <row r="893" ht="15.75" customHeight="1">
      <c r="B893" s="55"/>
    </row>
    <row r="894" ht="15.75" customHeight="1">
      <c r="B894" s="55"/>
    </row>
    <row r="895" ht="15.75" customHeight="1">
      <c r="B895" s="55"/>
    </row>
    <row r="896" ht="15.75" customHeight="1">
      <c r="B896" s="55"/>
    </row>
    <row r="897" ht="15.75" customHeight="1">
      <c r="B897" s="55"/>
    </row>
    <row r="898" ht="15.75" customHeight="1">
      <c r="B898" s="55"/>
    </row>
    <row r="899" ht="15.75" customHeight="1">
      <c r="B899" s="55"/>
    </row>
    <row r="900" ht="15.75" customHeight="1">
      <c r="B900" s="55"/>
    </row>
    <row r="901" ht="15.75" customHeight="1">
      <c r="B901" s="55"/>
    </row>
    <row r="902" ht="15.75" customHeight="1">
      <c r="B902" s="55"/>
    </row>
    <row r="903" ht="15.75" customHeight="1">
      <c r="B903" s="55"/>
    </row>
    <row r="904" ht="15.75" customHeight="1">
      <c r="B904" s="55"/>
    </row>
    <row r="905" ht="15.75" customHeight="1">
      <c r="B905" s="55"/>
    </row>
    <row r="906" ht="15.75" customHeight="1">
      <c r="B906" s="55"/>
    </row>
    <row r="907" ht="15.75" customHeight="1">
      <c r="B907" s="55"/>
    </row>
    <row r="908" ht="15.75" customHeight="1">
      <c r="B908" s="55"/>
    </row>
    <row r="909" ht="15.75" customHeight="1">
      <c r="B909" s="55"/>
    </row>
    <row r="910" ht="15.75" customHeight="1">
      <c r="B910" s="55"/>
    </row>
    <row r="911" ht="15.75" customHeight="1">
      <c r="B911" s="55"/>
    </row>
    <row r="912" ht="15.75" customHeight="1">
      <c r="B912" s="55"/>
    </row>
    <row r="913" ht="15.75" customHeight="1">
      <c r="B913" s="55"/>
    </row>
    <row r="914" ht="15.75" customHeight="1">
      <c r="B914" s="55"/>
    </row>
    <row r="915" ht="15.75" customHeight="1">
      <c r="B915" s="55"/>
    </row>
    <row r="916" ht="15.75" customHeight="1">
      <c r="B916" s="55"/>
    </row>
    <row r="917" ht="15.75" customHeight="1">
      <c r="B917" s="55"/>
    </row>
    <row r="918" ht="15.75" customHeight="1">
      <c r="B918" s="55"/>
    </row>
    <row r="919" ht="15.75" customHeight="1">
      <c r="B919" s="55"/>
    </row>
    <row r="920" ht="15.75" customHeight="1">
      <c r="B920" s="55"/>
    </row>
    <row r="921" ht="15.75" customHeight="1">
      <c r="B921" s="55"/>
    </row>
    <row r="922" ht="15.75" customHeight="1">
      <c r="B922" s="55"/>
    </row>
    <row r="923" ht="15.75" customHeight="1">
      <c r="B923" s="55"/>
    </row>
    <row r="924" ht="15.75" customHeight="1">
      <c r="B924" s="55"/>
    </row>
    <row r="925" ht="15.75" customHeight="1">
      <c r="B925" s="55"/>
    </row>
    <row r="926" ht="15.75" customHeight="1">
      <c r="B926" s="55"/>
    </row>
    <row r="927" ht="15.75" customHeight="1">
      <c r="B927" s="55"/>
    </row>
    <row r="928" ht="15.75" customHeight="1">
      <c r="B928" s="55"/>
    </row>
    <row r="929" ht="15.75" customHeight="1">
      <c r="B929" s="55"/>
    </row>
    <row r="930" ht="15.75" customHeight="1">
      <c r="B930" s="55"/>
    </row>
    <row r="931" ht="15.75" customHeight="1">
      <c r="B931" s="55"/>
    </row>
    <row r="932" ht="15.75" customHeight="1">
      <c r="B932" s="55"/>
    </row>
    <row r="933" ht="15.75" customHeight="1">
      <c r="B933" s="55"/>
    </row>
    <row r="934" ht="15.75" customHeight="1">
      <c r="B934" s="55"/>
    </row>
    <row r="935" ht="15.75" customHeight="1">
      <c r="B935" s="55"/>
    </row>
    <row r="936" ht="15.75" customHeight="1">
      <c r="B936" s="55"/>
    </row>
    <row r="937" ht="15.75" customHeight="1">
      <c r="B937" s="55"/>
    </row>
    <row r="938" ht="15.75" customHeight="1">
      <c r="B938" s="55"/>
    </row>
    <row r="939" ht="15.75" customHeight="1">
      <c r="B939" s="55"/>
    </row>
    <row r="940" ht="15.75" customHeight="1">
      <c r="B940" s="55"/>
    </row>
    <row r="941" ht="15.75" customHeight="1">
      <c r="B941" s="55"/>
    </row>
    <row r="942" ht="15.75" customHeight="1">
      <c r="B942" s="55"/>
    </row>
    <row r="943" ht="15.75" customHeight="1">
      <c r="B943" s="55"/>
    </row>
    <row r="944" ht="15.75" customHeight="1">
      <c r="B944" s="55"/>
    </row>
    <row r="945" ht="15.75" customHeight="1">
      <c r="B945" s="55"/>
    </row>
    <row r="946" ht="15.75" customHeight="1">
      <c r="B946" s="55"/>
    </row>
    <row r="947" ht="15.75" customHeight="1">
      <c r="B947" s="55"/>
    </row>
    <row r="948" ht="15.75" customHeight="1">
      <c r="B948" s="55"/>
    </row>
    <row r="949" ht="15.75" customHeight="1">
      <c r="B949" s="55"/>
    </row>
    <row r="950" ht="15.75" customHeight="1">
      <c r="B950" s="55"/>
    </row>
    <row r="951" ht="15.75" customHeight="1">
      <c r="B951" s="55"/>
    </row>
    <row r="952" ht="15.75" customHeight="1">
      <c r="B952" s="55"/>
    </row>
    <row r="953" ht="15.75" customHeight="1">
      <c r="B953" s="55"/>
    </row>
    <row r="954" ht="15.75" customHeight="1">
      <c r="B954" s="55"/>
    </row>
    <row r="955" ht="15.75" customHeight="1">
      <c r="B955" s="55"/>
    </row>
    <row r="956" ht="15.75" customHeight="1">
      <c r="B956" s="55"/>
    </row>
    <row r="957" ht="15.75" customHeight="1">
      <c r="B957" s="55"/>
    </row>
    <row r="958" ht="15.75" customHeight="1">
      <c r="B958" s="55"/>
    </row>
    <row r="959" ht="15.75" customHeight="1">
      <c r="B959" s="55"/>
    </row>
    <row r="960" ht="15.75" customHeight="1">
      <c r="B960" s="55"/>
    </row>
    <row r="961" ht="15.75" customHeight="1">
      <c r="B961" s="55"/>
    </row>
    <row r="962" ht="15.75" customHeight="1">
      <c r="B962" s="55"/>
    </row>
    <row r="963" ht="15.75" customHeight="1">
      <c r="B963" s="55"/>
    </row>
    <row r="964" ht="15.75" customHeight="1">
      <c r="B964" s="55"/>
    </row>
    <row r="965" ht="15.75" customHeight="1">
      <c r="B965" s="55"/>
    </row>
    <row r="966" ht="15.75" customHeight="1">
      <c r="B966" s="55"/>
    </row>
    <row r="967" ht="15.75" customHeight="1">
      <c r="B967" s="55"/>
    </row>
    <row r="968" ht="15.75" customHeight="1">
      <c r="B968" s="55"/>
    </row>
    <row r="969" ht="15.75" customHeight="1">
      <c r="B969" s="55"/>
    </row>
    <row r="970" ht="15.75" customHeight="1">
      <c r="B970" s="55"/>
    </row>
    <row r="971" ht="15.75" customHeight="1">
      <c r="B971" s="55"/>
    </row>
    <row r="972" ht="15.75" customHeight="1">
      <c r="B972" s="55"/>
    </row>
    <row r="973" ht="15.75" customHeight="1">
      <c r="B973" s="55"/>
    </row>
    <row r="974" ht="15.75" customHeight="1">
      <c r="B974" s="55"/>
    </row>
    <row r="975" ht="15.75" customHeight="1">
      <c r="B975" s="55"/>
    </row>
    <row r="976" ht="15.75" customHeight="1">
      <c r="B976" s="55"/>
    </row>
    <row r="977" ht="15.75" customHeight="1">
      <c r="B977" s="55"/>
    </row>
    <row r="978" ht="15.75" customHeight="1">
      <c r="B978" s="55"/>
    </row>
    <row r="979" ht="15.75" customHeight="1">
      <c r="B979" s="55"/>
    </row>
    <row r="980" ht="15.75" customHeight="1">
      <c r="B980" s="55"/>
    </row>
    <row r="981" ht="15.75" customHeight="1">
      <c r="B981" s="55"/>
    </row>
    <row r="982" ht="15.75" customHeight="1">
      <c r="B982" s="55"/>
    </row>
    <row r="983" ht="15.75" customHeight="1">
      <c r="B983" s="55"/>
    </row>
    <row r="984" ht="15.75" customHeight="1">
      <c r="B984" s="55"/>
    </row>
    <row r="985" ht="15.75" customHeight="1">
      <c r="B985" s="55"/>
    </row>
    <row r="986" ht="15.75" customHeight="1">
      <c r="B986" s="55"/>
    </row>
    <row r="987" ht="15.75" customHeight="1">
      <c r="B987" s="55"/>
    </row>
    <row r="988" ht="15.75" customHeight="1">
      <c r="B988" s="55"/>
    </row>
    <row r="989" ht="15.75" customHeight="1">
      <c r="B989" s="55"/>
    </row>
    <row r="990" ht="15.75" customHeight="1">
      <c r="B990" s="55"/>
    </row>
    <row r="991" ht="15.75" customHeight="1">
      <c r="B991" s="55"/>
    </row>
    <row r="992" ht="15.75" customHeight="1">
      <c r="B992" s="55"/>
    </row>
    <row r="993" ht="15.75" customHeight="1">
      <c r="B993" s="55"/>
    </row>
    <row r="994" ht="15.75" customHeight="1">
      <c r="B994" s="55"/>
    </row>
    <row r="995" ht="15.75" customHeight="1">
      <c r="B995" s="55"/>
    </row>
    <row r="996" ht="15.75" customHeight="1">
      <c r="B996" s="55"/>
    </row>
    <row r="997" ht="15.75" customHeight="1">
      <c r="B997" s="55"/>
    </row>
    <row r="998" ht="15.75" customHeight="1">
      <c r="B998" s="55"/>
    </row>
    <row r="999" ht="15.75" customHeight="1">
      <c r="B999" s="55"/>
    </row>
    <row r="1000" ht="15.75" customHeight="1">
      <c r="B1000" s="55"/>
    </row>
    <row r="1001" ht="15.75" customHeight="1">
      <c r="B1001" s="55"/>
    </row>
  </sheetData>
  <mergeCells count="4">
    <mergeCell ref="B18:R18"/>
    <mergeCell ref="A22:Q22"/>
    <mergeCell ref="A24:M24"/>
    <mergeCell ref="A20:F20"/>
  </mergeCells>
  <hyperlinks>
    <hyperlink r:id="rId1" ref="B18"/>
    <hyperlink r:id="rId2" ref="A22"/>
    <hyperlink r:id="rId3" ref="A24"/>
  </hyperlinks>
  <printOptions/>
  <pageMargins bottom="0.75" footer="0.0" header="0.0" left="0.7" right="0.7" top="0.75"/>
  <pageSetup orientation="landscape"/>
  <drawing r:id="rId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86"/>
    <col customWidth="1" min="2" max="16" width="8.71"/>
    <col customWidth="1" min="17" max="17" width="8.29"/>
    <col customWidth="1" min="18" max="26" width="8.71"/>
  </cols>
  <sheetData>
    <row r="1">
      <c r="A1" s="57" t="s">
        <v>97</v>
      </c>
      <c r="B1" s="58">
        <v>44879.0</v>
      </c>
      <c r="C1" s="59">
        <v>44880.0</v>
      </c>
      <c r="D1" s="59">
        <v>44881.0</v>
      </c>
      <c r="E1" s="59">
        <v>44882.0</v>
      </c>
      <c r="F1" s="59">
        <v>44883.0</v>
      </c>
      <c r="G1" s="4" t="s">
        <v>98</v>
      </c>
      <c r="H1" s="5">
        <v>44886.0</v>
      </c>
      <c r="I1" s="60" t="s">
        <v>99</v>
      </c>
      <c r="J1" s="5">
        <v>44887.0</v>
      </c>
      <c r="K1" s="4" t="s">
        <v>100</v>
      </c>
      <c r="L1" s="5">
        <v>44888.0</v>
      </c>
      <c r="M1" s="5">
        <v>44889.0</v>
      </c>
      <c r="N1" s="5">
        <v>44893.0</v>
      </c>
      <c r="O1" s="4" t="s">
        <v>101</v>
      </c>
      <c r="P1" s="5">
        <v>44894.0</v>
      </c>
      <c r="Q1" s="4" t="s">
        <v>102</v>
      </c>
      <c r="R1" s="4" t="s">
        <v>103</v>
      </c>
      <c r="S1" s="7">
        <v>44896.0</v>
      </c>
      <c r="T1" s="7">
        <v>44897.0</v>
      </c>
      <c r="U1" s="4" t="s">
        <v>104</v>
      </c>
      <c r="V1" s="7">
        <v>44900.0</v>
      </c>
      <c r="W1" s="7">
        <v>44901.0</v>
      </c>
      <c r="X1" s="4" t="s">
        <v>105</v>
      </c>
    </row>
    <row r="2">
      <c r="A2" s="61" t="s">
        <v>106</v>
      </c>
      <c r="B2" s="62">
        <v>40053.0</v>
      </c>
      <c r="C2" s="63">
        <v>44569.0</v>
      </c>
      <c r="D2" s="63">
        <v>46310.0</v>
      </c>
      <c r="E2" s="64">
        <v>49031.0</v>
      </c>
      <c r="F2" s="64">
        <v>53000.0</v>
      </c>
      <c r="G2" s="64">
        <v>57390.0</v>
      </c>
      <c r="H2" s="64">
        <v>61770.0</v>
      </c>
      <c r="I2" s="64">
        <v>61770.0</v>
      </c>
      <c r="J2" s="64">
        <v>61770.0</v>
      </c>
      <c r="K2" s="64">
        <v>62049.0</v>
      </c>
      <c r="L2" s="64">
        <v>62049.0</v>
      </c>
      <c r="M2" s="64">
        <v>62049.0</v>
      </c>
      <c r="N2" s="64">
        <v>62049.0</v>
      </c>
      <c r="O2" s="64">
        <v>62049.0</v>
      </c>
      <c r="P2" s="64">
        <v>62049.0</v>
      </c>
      <c r="Q2" s="64">
        <v>62134.0</v>
      </c>
      <c r="R2" s="64">
        <v>62134.0</v>
      </c>
      <c r="S2" s="64">
        <v>62134.0</v>
      </c>
      <c r="T2" s="64">
        <v>62134.0</v>
      </c>
      <c r="U2" s="64">
        <v>62214.0</v>
      </c>
      <c r="V2" s="64">
        <v>62214.0</v>
      </c>
      <c r="W2" s="64">
        <v>62244.0</v>
      </c>
      <c r="X2" s="64">
        <v>62244.0</v>
      </c>
      <c r="Y2" s="65"/>
      <c r="Z2" s="65"/>
    </row>
    <row r="3">
      <c r="A3" s="66" t="s">
        <v>107</v>
      </c>
      <c r="B3" s="67">
        <v>35512.0</v>
      </c>
      <c r="C3" s="68">
        <v>40440.0</v>
      </c>
      <c r="D3" s="68">
        <v>42270.0</v>
      </c>
      <c r="E3" s="69">
        <v>45674.0</v>
      </c>
      <c r="F3" s="69">
        <v>49690.0</v>
      </c>
      <c r="G3" s="69">
        <v>54021.0</v>
      </c>
      <c r="H3" s="69">
        <v>58698.0</v>
      </c>
      <c r="I3" s="69">
        <v>58698.0</v>
      </c>
      <c r="J3" s="69">
        <v>58698.0</v>
      </c>
      <c r="K3" s="69">
        <v>59025.0</v>
      </c>
      <c r="L3" s="69">
        <v>59025.0</v>
      </c>
      <c r="M3" s="69">
        <v>59025.0</v>
      </c>
      <c r="N3" s="69">
        <v>59025.0</v>
      </c>
      <c r="O3" s="69">
        <v>59025.0</v>
      </c>
      <c r="P3" s="69">
        <v>59025.0</v>
      </c>
      <c r="Q3" s="69">
        <v>59098.0</v>
      </c>
      <c r="R3" s="69">
        <v>59098.0</v>
      </c>
      <c r="S3" s="69">
        <v>59098.0</v>
      </c>
      <c r="T3" s="69">
        <v>59098.0</v>
      </c>
      <c r="U3" s="69">
        <v>59190.0</v>
      </c>
      <c r="V3" s="69">
        <v>59190.0</v>
      </c>
      <c r="W3" s="69">
        <v>59223.0</v>
      </c>
      <c r="X3" s="69">
        <v>59223.0</v>
      </c>
      <c r="Y3" s="70"/>
      <c r="Z3" s="70"/>
    </row>
    <row r="4">
      <c r="A4" s="20" t="s">
        <v>11</v>
      </c>
      <c r="B4" s="21">
        <f t="shared" ref="B4:X4" si="1">B2-B3</f>
        <v>4541</v>
      </c>
      <c r="C4" s="21">
        <f t="shared" si="1"/>
        <v>4129</v>
      </c>
      <c r="D4" s="21">
        <f t="shared" si="1"/>
        <v>4040</v>
      </c>
      <c r="E4" s="21">
        <f t="shared" si="1"/>
        <v>3357</v>
      </c>
      <c r="F4" s="21">
        <f t="shared" si="1"/>
        <v>3310</v>
      </c>
      <c r="G4" s="21">
        <f t="shared" si="1"/>
        <v>3369</v>
      </c>
      <c r="H4" s="21">
        <f t="shared" si="1"/>
        <v>3072</v>
      </c>
      <c r="I4" s="21">
        <f t="shared" si="1"/>
        <v>3072</v>
      </c>
      <c r="J4" s="21">
        <f t="shared" si="1"/>
        <v>3072</v>
      </c>
      <c r="K4" s="21">
        <f t="shared" si="1"/>
        <v>3024</v>
      </c>
      <c r="L4" s="21">
        <f t="shared" si="1"/>
        <v>3024</v>
      </c>
      <c r="M4" s="21">
        <f t="shared" si="1"/>
        <v>3024</v>
      </c>
      <c r="N4" s="21">
        <f t="shared" si="1"/>
        <v>3024</v>
      </c>
      <c r="O4" s="21">
        <f t="shared" si="1"/>
        <v>3024</v>
      </c>
      <c r="P4" s="21">
        <f t="shared" si="1"/>
        <v>3024</v>
      </c>
      <c r="Q4" s="21">
        <f t="shared" si="1"/>
        <v>3036</v>
      </c>
      <c r="R4" s="21">
        <f t="shared" si="1"/>
        <v>3036</v>
      </c>
      <c r="S4" s="21">
        <f t="shared" si="1"/>
        <v>3036</v>
      </c>
      <c r="T4" s="21">
        <f t="shared" si="1"/>
        <v>3036</v>
      </c>
      <c r="U4" s="21">
        <f t="shared" si="1"/>
        <v>3024</v>
      </c>
      <c r="V4" s="21">
        <f t="shared" si="1"/>
        <v>3024</v>
      </c>
      <c r="W4" s="21">
        <f t="shared" si="1"/>
        <v>3021</v>
      </c>
      <c r="X4" s="21">
        <f t="shared" si="1"/>
        <v>3021</v>
      </c>
    </row>
    <row r="5">
      <c r="A5" s="20" t="s">
        <v>12</v>
      </c>
      <c r="B5" s="23">
        <f t="shared" ref="B5:X5" si="2">B4/sum(B2:B3)</f>
        <v>0.06009395884</v>
      </c>
      <c r="C5" s="23">
        <f t="shared" si="2"/>
        <v>0.04857132774</v>
      </c>
      <c r="D5" s="23">
        <f t="shared" si="2"/>
        <v>0.0456084895</v>
      </c>
      <c r="E5" s="23">
        <f t="shared" si="2"/>
        <v>0.0354469141</v>
      </c>
      <c r="F5" s="23">
        <f t="shared" si="2"/>
        <v>0.03223293407</v>
      </c>
      <c r="G5" s="23">
        <f t="shared" si="2"/>
        <v>0.0302393839</v>
      </c>
      <c r="H5" s="23">
        <f t="shared" si="2"/>
        <v>0.02550054786</v>
      </c>
      <c r="I5" s="23">
        <f t="shared" si="2"/>
        <v>0.02550054786</v>
      </c>
      <c r="J5" s="23">
        <f t="shared" si="2"/>
        <v>0.02550054786</v>
      </c>
      <c r="K5" s="23">
        <f t="shared" si="2"/>
        <v>0.02497646068</v>
      </c>
      <c r="L5" s="23">
        <f t="shared" si="2"/>
        <v>0.02497646068</v>
      </c>
      <c r="M5" s="23">
        <f t="shared" si="2"/>
        <v>0.02497646068</v>
      </c>
      <c r="N5" s="23">
        <f t="shared" si="2"/>
        <v>0.02497646068</v>
      </c>
      <c r="O5" s="23">
        <f t="shared" si="2"/>
        <v>0.02497646068</v>
      </c>
      <c r="P5" s="23">
        <f t="shared" si="2"/>
        <v>0.02497646068</v>
      </c>
      <c r="Q5" s="23">
        <f t="shared" si="2"/>
        <v>0.02504289297</v>
      </c>
      <c r="R5" s="23">
        <f t="shared" si="2"/>
        <v>0.02504289297</v>
      </c>
      <c r="S5" s="23">
        <f t="shared" si="2"/>
        <v>0.02504289297</v>
      </c>
      <c r="T5" s="23">
        <f t="shared" si="2"/>
        <v>0.02504289297</v>
      </c>
      <c r="U5" s="23">
        <f t="shared" si="2"/>
        <v>0.02490856973</v>
      </c>
      <c r="V5" s="23">
        <f t="shared" si="2"/>
        <v>0.02490856973</v>
      </c>
      <c r="W5" s="23">
        <f t="shared" si="2"/>
        <v>0.0248709526</v>
      </c>
      <c r="X5" s="23">
        <f t="shared" si="2"/>
        <v>0.0248709526</v>
      </c>
    </row>
    <row r="6">
      <c r="A6" s="24" t="s">
        <v>13</v>
      </c>
      <c r="B6" s="25">
        <v>1006300.0</v>
      </c>
      <c r="C6" s="25">
        <v>1006300.0</v>
      </c>
      <c r="D6" s="32">
        <v>655300.0</v>
      </c>
      <c r="E6" s="31">
        <v>463050.0</v>
      </c>
      <c r="F6" s="31">
        <v>463050.0</v>
      </c>
      <c r="G6" s="31">
        <v>332550.0</v>
      </c>
      <c r="H6" s="31">
        <v>332550.0</v>
      </c>
      <c r="I6" s="31">
        <v>332550.0</v>
      </c>
      <c r="J6" s="31">
        <v>25250.0</v>
      </c>
      <c r="K6" s="31">
        <v>25250.0</v>
      </c>
      <c r="L6" s="31">
        <v>25250.0</v>
      </c>
      <c r="M6" s="31">
        <v>15105.0</v>
      </c>
      <c r="N6" s="31">
        <v>15105.0</v>
      </c>
      <c r="O6" s="31">
        <v>15105.0</v>
      </c>
      <c r="P6" s="31">
        <v>15105.0</v>
      </c>
      <c r="Q6" s="31">
        <v>15105.0</v>
      </c>
      <c r="R6" s="31">
        <v>11405.0</v>
      </c>
      <c r="S6" s="31">
        <v>11405.0</v>
      </c>
      <c r="T6" s="31">
        <v>11405.0</v>
      </c>
      <c r="U6" s="31">
        <v>11405.0</v>
      </c>
      <c r="V6" s="31">
        <v>11405.0</v>
      </c>
      <c r="W6" s="31">
        <v>0.0</v>
      </c>
      <c r="X6" s="30">
        <v>0.0</v>
      </c>
    </row>
    <row r="7">
      <c r="A7" s="26" t="s">
        <v>91</v>
      </c>
      <c r="B7" s="25">
        <v>1006300.0</v>
      </c>
      <c r="C7" s="25">
        <v>1006300.0</v>
      </c>
      <c r="D7" s="32">
        <v>655300.0</v>
      </c>
      <c r="E7" s="31">
        <v>463050.0</v>
      </c>
      <c r="F7" s="31">
        <v>463050.0</v>
      </c>
      <c r="G7" s="31">
        <v>332550.0</v>
      </c>
      <c r="H7" s="31">
        <v>332550.0</v>
      </c>
      <c r="I7" s="31">
        <v>332550.0</v>
      </c>
      <c r="J7" s="31">
        <v>25250.0</v>
      </c>
      <c r="K7" s="31">
        <v>25250.0</v>
      </c>
      <c r="L7" s="31">
        <v>25250.0</v>
      </c>
      <c r="M7" s="31">
        <v>15105.0</v>
      </c>
      <c r="N7" s="31">
        <v>15105.0</v>
      </c>
      <c r="O7" s="31">
        <v>15105.0</v>
      </c>
      <c r="P7" s="31">
        <v>15105.0</v>
      </c>
      <c r="Q7" s="31">
        <v>15105.0</v>
      </c>
      <c r="R7" s="31">
        <v>11405.0</v>
      </c>
      <c r="S7" s="31">
        <v>11405.0</v>
      </c>
      <c r="T7" s="31">
        <v>11405.0</v>
      </c>
      <c r="U7" s="31">
        <v>11405.0</v>
      </c>
      <c r="V7" s="31">
        <v>11405.0</v>
      </c>
      <c r="W7" s="31">
        <v>0.0</v>
      </c>
      <c r="X7" s="30">
        <v>0.0</v>
      </c>
    </row>
    <row r="8">
      <c r="A8" s="49"/>
      <c r="B8" s="50"/>
    </row>
    <row r="9">
      <c r="A9" s="49"/>
      <c r="B9" s="50"/>
    </row>
    <row r="10">
      <c r="A10" s="49"/>
      <c r="B10" s="50"/>
    </row>
    <row r="11">
      <c r="A11" s="49"/>
      <c r="B11" s="50"/>
    </row>
    <row r="12">
      <c r="A12" s="34"/>
    </row>
    <row r="13">
      <c r="A13" s="34"/>
    </row>
    <row r="14">
      <c r="A14" s="34"/>
    </row>
    <row r="15">
      <c r="A15" s="34"/>
    </row>
    <row r="16">
      <c r="A16" s="34"/>
    </row>
    <row r="17">
      <c r="A17" s="34"/>
    </row>
    <row r="18">
      <c r="A18" s="45" t="s">
        <v>92</v>
      </c>
      <c r="B18" s="71" t="s">
        <v>93</v>
      </c>
    </row>
    <row r="20">
      <c r="A20" s="30" t="s">
        <v>108</v>
      </c>
    </row>
    <row r="22">
      <c r="A22" s="37" t="s">
        <v>109</v>
      </c>
    </row>
    <row r="23" ht="15.75" customHeight="1"/>
    <row r="24" ht="15.75" customHeight="1">
      <c r="A24" s="37" t="s">
        <v>110</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mergeCells count="4">
    <mergeCell ref="B18:R18"/>
    <mergeCell ref="A22:S22"/>
    <mergeCell ref="A24:M24"/>
    <mergeCell ref="A20:F20"/>
  </mergeCells>
  <hyperlinks>
    <hyperlink r:id="rId1" ref="B18"/>
    <hyperlink r:id="rId2" ref="A22"/>
    <hyperlink r:id="rId3" ref="A24"/>
  </hyperlinks>
  <printOptions/>
  <pageMargins bottom="0.75" footer="0.0" header="0.0" left="0.7" right="0.7" top="0.75"/>
  <pageSetup orientation="landscape"/>
  <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86"/>
    <col customWidth="1" min="2" max="25" width="8.71"/>
  </cols>
  <sheetData>
    <row r="1">
      <c r="A1" s="1" t="s">
        <v>111</v>
      </c>
      <c r="B1" s="2">
        <v>44879.0</v>
      </c>
      <c r="C1" s="3">
        <v>44880.0</v>
      </c>
      <c r="D1" s="3">
        <v>44881.0</v>
      </c>
      <c r="E1" s="3">
        <v>44882.0</v>
      </c>
      <c r="F1" s="3">
        <v>44883.0</v>
      </c>
      <c r="G1" s="6" t="s">
        <v>112</v>
      </c>
      <c r="H1" s="5">
        <v>44886.0</v>
      </c>
      <c r="I1" s="40" t="s">
        <v>113</v>
      </c>
      <c r="J1" s="5">
        <v>44887.0</v>
      </c>
      <c r="K1" s="6" t="s">
        <v>114</v>
      </c>
      <c r="L1" s="5">
        <v>44888.0</v>
      </c>
      <c r="M1" s="5">
        <v>44889.0</v>
      </c>
      <c r="N1" s="5">
        <v>44893.0</v>
      </c>
      <c r="O1" s="6" t="s">
        <v>115</v>
      </c>
      <c r="P1" s="5">
        <v>44894.0</v>
      </c>
      <c r="Q1" s="6" t="s">
        <v>116</v>
      </c>
      <c r="R1" s="6" t="s">
        <v>117</v>
      </c>
      <c r="S1" s="7">
        <v>44896.0</v>
      </c>
      <c r="T1" s="7">
        <v>44897.0</v>
      </c>
      <c r="U1" s="8"/>
      <c r="V1" s="41"/>
      <c r="W1" s="41"/>
      <c r="X1" s="41"/>
      <c r="Y1" s="41"/>
    </row>
    <row r="2">
      <c r="A2" s="9" t="s">
        <v>118</v>
      </c>
      <c r="B2" s="10">
        <v>82984.0</v>
      </c>
      <c r="C2" s="11">
        <v>91215.0</v>
      </c>
      <c r="D2" s="11">
        <v>95774.0</v>
      </c>
      <c r="E2" s="12">
        <v>102599.0</v>
      </c>
      <c r="F2" s="12">
        <v>109295.0</v>
      </c>
      <c r="G2" s="12">
        <v>109295.0</v>
      </c>
      <c r="H2" s="12">
        <v>120355.0</v>
      </c>
      <c r="I2" s="12">
        <v>120355.0</v>
      </c>
      <c r="J2" s="12">
        <v>122121.0</v>
      </c>
      <c r="K2" s="12">
        <v>122121.0</v>
      </c>
      <c r="L2" s="12">
        <v>122121.0</v>
      </c>
      <c r="M2" s="12">
        <v>123000.0</v>
      </c>
      <c r="N2" s="12">
        <v>123000.0</v>
      </c>
      <c r="O2" s="12">
        <v>123000.0</v>
      </c>
      <c r="P2" s="12">
        <v>123000.0</v>
      </c>
      <c r="Q2" s="12">
        <v>123298.0</v>
      </c>
      <c r="R2" s="12">
        <v>123298.0</v>
      </c>
      <c r="S2" s="12">
        <v>123298.0</v>
      </c>
      <c r="T2" s="12">
        <v>123869.0</v>
      </c>
      <c r="U2" s="42"/>
      <c r="V2" s="42"/>
      <c r="W2" s="42"/>
      <c r="X2" s="42"/>
      <c r="Y2" s="42"/>
    </row>
    <row r="3">
      <c r="A3" s="14" t="s">
        <v>119</v>
      </c>
      <c r="B3" s="15">
        <v>78918.0</v>
      </c>
      <c r="C3" s="16">
        <v>85726.0</v>
      </c>
      <c r="D3" s="16">
        <v>89269.0</v>
      </c>
      <c r="E3" s="17">
        <v>96313.0</v>
      </c>
      <c r="F3" s="17">
        <v>102145.0</v>
      </c>
      <c r="G3" s="17">
        <v>102145.0</v>
      </c>
      <c r="H3" s="17">
        <v>109991.0</v>
      </c>
      <c r="I3" s="17">
        <v>109991.0</v>
      </c>
      <c r="J3" s="17">
        <v>111232.0</v>
      </c>
      <c r="K3" s="17">
        <v>111232.0</v>
      </c>
      <c r="L3" s="17">
        <v>111232.0</v>
      </c>
      <c r="M3" s="17">
        <v>111979.0</v>
      </c>
      <c r="N3" s="17">
        <v>111979.0</v>
      </c>
      <c r="O3" s="17">
        <v>111979.0</v>
      </c>
      <c r="P3" s="17">
        <v>111979.0</v>
      </c>
      <c r="Q3" s="17">
        <v>112324.0</v>
      </c>
      <c r="R3" s="17">
        <v>112324.0</v>
      </c>
      <c r="S3" s="17">
        <v>112324.0</v>
      </c>
      <c r="T3" s="17">
        <v>112769.0</v>
      </c>
      <c r="U3" s="19"/>
      <c r="V3" s="43"/>
      <c r="W3" s="43"/>
      <c r="X3" s="43"/>
      <c r="Y3" s="43"/>
    </row>
    <row r="4">
      <c r="A4" s="20" t="s">
        <v>11</v>
      </c>
      <c r="B4" s="21">
        <f t="shared" ref="B4:T4" si="1">B2-B3</f>
        <v>4066</v>
      </c>
      <c r="C4" s="21">
        <f t="shared" si="1"/>
        <v>5489</v>
      </c>
      <c r="D4" s="21">
        <f t="shared" si="1"/>
        <v>6505</v>
      </c>
      <c r="E4" s="21">
        <f t="shared" si="1"/>
        <v>6286</v>
      </c>
      <c r="F4" s="21">
        <f t="shared" si="1"/>
        <v>7150</v>
      </c>
      <c r="G4" s="21">
        <f t="shared" si="1"/>
        <v>7150</v>
      </c>
      <c r="H4" s="21">
        <f t="shared" si="1"/>
        <v>10364</v>
      </c>
      <c r="I4" s="21">
        <f t="shared" si="1"/>
        <v>10364</v>
      </c>
      <c r="J4" s="21">
        <f t="shared" si="1"/>
        <v>10889</v>
      </c>
      <c r="K4" s="21">
        <f t="shared" si="1"/>
        <v>10889</v>
      </c>
      <c r="L4" s="21">
        <f t="shared" si="1"/>
        <v>10889</v>
      </c>
      <c r="M4" s="21">
        <f t="shared" si="1"/>
        <v>11021</v>
      </c>
      <c r="N4" s="21">
        <f t="shared" si="1"/>
        <v>11021</v>
      </c>
      <c r="O4" s="21">
        <f t="shared" si="1"/>
        <v>11021</v>
      </c>
      <c r="P4" s="21">
        <f t="shared" si="1"/>
        <v>11021</v>
      </c>
      <c r="Q4" s="21">
        <f t="shared" si="1"/>
        <v>10974</v>
      </c>
      <c r="R4" s="21">
        <f t="shared" si="1"/>
        <v>10974</v>
      </c>
      <c r="S4" s="21">
        <f t="shared" si="1"/>
        <v>10974</v>
      </c>
      <c r="T4" s="21">
        <f t="shared" si="1"/>
        <v>11100</v>
      </c>
    </row>
    <row r="5">
      <c r="A5" s="20" t="s">
        <v>12</v>
      </c>
      <c r="B5" s="23">
        <f t="shared" ref="B5:T5" si="2">B4/sum(B2:B3)</f>
        <v>0.02511395783</v>
      </c>
      <c r="C5" s="23">
        <f t="shared" si="2"/>
        <v>0.03102163998</v>
      </c>
      <c r="D5" s="23">
        <f t="shared" si="2"/>
        <v>0.03515399123</v>
      </c>
      <c r="E5" s="23">
        <f t="shared" si="2"/>
        <v>0.03160191441</v>
      </c>
      <c r="F5" s="23">
        <f t="shared" si="2"/>
        <v>0.03381573969</v>
      </c>
      <c r="G5" s="23">
        <f t="shared" si="2"/>
        <v>0.03381573969</v>
      </c>
      <c r="H5" s="23">
        <f t="shared" si="2"/>
        <v>0.04499318417</v>
      </c>
      <c r="I5" s="23">
        <f t="shared" si="2"/>
        <v>0.04499318417</v>
      </c>
      <c r="J5" s="23">
        <f t="shared" si="2"/>
        <v>0.04666320982</v>
      </c>
      <c r="K5" s="23">
        <f t="shared" si="2"/>
        <v>0.04666320982</v>
      </c>
      <c r="L5" s="23">
        <f t="shared" si="2"/>
        <v>0.04666320982</v>
      </c>
      <c r="M5" s="23">
        <f t="shared" si="2"/>
        <v>0.04690206359</v>
      </c>
      <c r="N5" s="23">
        <f t="shared" si="2"/>
        <v>0.04690206359</v>
      </c>
      <c r="O5" s="23">
        <f t="shared" si="2"/>
        <v>0.04690206359</v>
      </c>
      <c r="P5" s="23">
        <f t="shared" si="2"/>
        <v>0.04690206359</v>
      </c>
      <c r="Q5" s="23">
        <f t="shared" si="2"/>
        <v>0.0465745983</v>
      </c>
      <c r="R5" s="23">
        <f t="shared" si="2"/>
        <v>0.0465745983</v>
      </c>
      <c r="S5" s="23">
        <f t="shared" si="2"/>
        <v>0.0465745983</v>
      </c>
      <c r="T5" s="23">
        <f t="shared" si="2"/>
        <v>0.04690709015</v>
      </c>
    </row>
    <row r="6">
      <c r="A6" s="24" t="s">
        <v>13</v>
      </c>
      <c r="B6" s="25">
        <v>121000.0</v>
      </c>
      <c r="C6" s="25">
        <v>94000.0</v>
      </c>
      <c r="D6" s="32">
        <v>67000.0</v>
      </c>
      <c r="E6" s="31">
        <v>27000.0</v>
      </c>
      <c r="F6" s="31">
        <v>47000.0</v>
      </c>
      <c r="G6" s="31">
        <v>27000.0</v>
      </c>
      <c r="H6" s="31">
        <v>15000.0</v>
      </c>
      <c r="I6" s="31">
        <v>15000.0</v>
      </c>
      <c r="J6" s="31">
        <v>8000.0</v>
      </c>
      <c r="K6" s="31">
        <v>8000.0</v>
      </c>
      <c r="L6" s="31">
        <v>8000.0</v>
      </c>
      <c r="M6" s="31">
        <v>4000.0</v>
      </c>
      <c r="N6" s="31">
        <v>4000.0</v>
      </c>
      <c r="O6" s="31">
        <v>4000.0</v>
      </c>
      <c r="P6" s="31">
        <v>4000.0</v>
      </c>
      <c r="Q6" s="31">
        <v>1000.0</v>
      </c>
      <c r="R6" s="31">
        <v>1000.0</v>
      </c>
      <c r="S6" s="31">
        <v>1000.0</v>
      </c>
      <c r="T6" s="30">
        <v>0.0</v>
      </c>
    </row>
    <row r="7">
      <c r="A7" s="26" t="s">
        <v>120</v>
      </c>
      <c r="B7" s="25">
        <v>121000.0</v>
      </c>
      <c r="C7" s="25">
        <v>94000.0</v>
      </c>
      <c r="D7" s="32">
        <v>67000.0</v>
      </c>
      <c r="E7" s="31">
        <v>27000.0</v>
      </c>
      <c r="F7" s="31">
        <v>47000.0</v>
      </c>
      <c r="G7" s="31">
        <v>27000.0</v>
      </c>
      <c r="H7" s="31">
        <v>15000.0</v>
      </c>
      <c r="I7" s="31">
        <v>15000.0</v>
      </c>
      <c r="J7" s="31">
        <v>8000.0</v>
      </c>
      <c r="K7" s="31">
        <v>8000.0</v>
      </c>
      <c r="L7" s="31">
        <v>8000.0</v>
      </c>
      <c r="M7" s="31">
        <v>4000.0</v>
      </c>
      <c r="N7" s="31">
        <v>4000.0</v>
      </c>
      <c r="O7" s="31">
        <v>4000.0</v>
      </c>
      <c r="P7" s="31">
        <v>4000.0</v>
      </c>
      <c r="Q7" s="31">
        <v>1000.0</v>
      </c>
      <c r="R7" s="31">
        <v>1000.0</v>
      </c>
      <c r="S7" s="31">
        <v>1000.0</v>
      </c>
      <c r="T7" s="30">
        <v>0.0</v>
      </c>
    </row>
    <row r="8">
      <c r="A8" s="49"/>
      <c r="B8" s="50"/>
    </row>
    <row r="9">
      <c r="A9" s="49"/>
      <c r="B9" s="50"/>
    </row>
    <row r="10">
      <c r="A10" s="49"/>
      <c r="B10" s="50"/>
    </row>
    <row r="11">
      <c r="A11" s="49"/>
      <c r="B11" s="50"/>
    </row>
    <row r="12">
      <c r="A12" s="34"/>
    </row>
    <row r="13">
      <c r="A13" s="34"/>
    </row>
    <row r="14">
      <c r="A14" s="34"/>
    </row>
    <row r="15">
      <c r="A15" s="34"/>
    </row>
    <row r="16">
      <c r="A16" s="34"/>
    </row>
    <row r="17">
      <c r="A17" s="34"/>
    </row>
    <row r="18">
      <c r="A18" s="45" t="s">
        <v>92</v>
      </c>
      <c r="B18" s="56" t="s">
        <v>121</v>
      </c>
      <c r="E18" s="72"/>
      <c r="F18" s="72"/>
      <c r="G18" s="72"/>
      <c r="H18" s="72"/>
      <c r="I18" s="72"/>
      <c r="J18" s="72"/>
      <c r="K18" s="72"/>
      <c r="L18" s="72"/>
      <c r="M18" s="72"/>
    </row>
    <row r="20">
      <c r="A20" s="30" t="s">
        <v>122</v>
      </c>
    </row>
    <row r="22" ht="15.75" customHeight="1">
      <c r="A22" s="73" t="s">
        <v>123</v>
      </c>
    </row>
    <row r="23" ht="15.75" customHeight="1"/>
    <row r="24" ht="15.75" customHeight="1">
      <c r="A24" s="37" t="s">
        <v>124</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4">
    <mergeCell ref="B18:D18"/>
    <mergeCell ref="A22:S22"/>
    <mergeCell ref="A24:M24"/>
    <mergeCell ref="A20:F20"/>
  </mergeCells>
  <hyperlinks>
    <hyperlink r:id="rId1" ref="B18"/>
    <hyperlink r:id="rId2" ref="A22"/>
    <hyperlink r:id="rId3" ref="A24"/>
  </hyperlinks>
  <printOptions/>
  <pageMargins bottom="0.75" footer="0.0" header="0.0" left="0.7" right="0.7" top="0.75"/>
  <pageSetup orientation="landscape"/>
  <drawing r:id="rId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86"/>
    <col customWidth="1" min="2" max="15" width="8.71"/>
    <col customWidth="1" min="16" max="16" width="8.0"/>
    <col customWidth="1" min="17" max="26" width="8.71"/>
  </cols>
  <sheetData>
    <row r="1">
      <c r="A1" s="1" t="s">
        <v>125</v>
      </c>
      <c r="B1" s="2">
        <v>44879.0</v>
      </c>
      <c r="C1" s="3">
        <v>44880.0</v>
      </c>
      <c r="D1" s="3">
        <v>44881.0</v>
      </c>
      <c r="E1" s="3">
        <v>44882.0</v>
      </c>
      <c r="F1" s="3">
        <v>44883.0</v>
      </c>
      <c r="G1" s="6" t="s">
        <v>126</v>
      </c>
      <c r="H1" s="5">
        <v>44886.0</v>
      </c>
      <c r="I1" s="40" t="s">
        <v>127</v>
      </c>
      <c r="J1" s="5">
        <v>44887.0</v>
      </c>
      <c r="K1" s="6" t="s">
        <v>128</v>
      </c>
      <c r="L1" s="5">
        <v>44888.0</v>
      </c>
      <c r="M1" s="5">
        <v>44889.0</v>
      </c>
      <c r="N1" s="5">
        <v>44893.0</v>
      </c>
      <c r="O1" s="6" t="s">
        <v>115</v>
      </c>
      <c r="P1" s="6" t="s">
        <v>129</v>
      </c>
      <c r="Q1" s="40" t="s">
        <v>130</v>
      </c>
      <c r="R1" s="7">
        <v>44896.0</v>
      </c>
      <c r="S1" s="7">
        <v>44897.0</v>
      </c>
      <c r="T1" s="6" t="s">
        <v>131</v>
      </c>
      <c r="U1" s="7">
        <v>44900.0</v>
      </c>
      <c r="V1" s="7">
        <v>44901.0</v>
      </c>
      <c r="W1" s="41"/>
      <c r="X1" s="41"/>
      <c r="Y1" s="41"/>
      <c r="Z1" s="41"/>
    </row>
    <row r="2">
      <c r="A2" s="9" t="s">
        <v>132</v>
      </c>
      <c r="B2" s="10">
        <v>88745.0</v>
      </c>
      <c r="C2" s="11">
        <v>96114.0</v>
      </c>
      <c r="D2" s="11">
        <v>101958.0</v>
      </c>
      <c r="E2" s="12">
        <v>106781.0</v>
      </c>
      <c r="F2" s="12">
        <v>110884.0</v>
      </c>
      <c r="G2" s="12">
        <v>111657.0</v>
      </c>
      <c r="H2" s="12">
        <v>112060.0</v>
      </c>
      <c r="I2" s="12">
        <v>112060.0</v>
      </c>
      <c r="J2" s="12">
        <v>112867.0</v>
      </c>
      <c r="K2" s="12">
        <v>112902.0</v>
      </c>
      <c r="L2" s="12">
        <v>112987.0</v>
      </c>
      <c r="M2" s="12">
        <v>113163.0</v>
      </c>
      <c r="N2" s="12">
        <v>113227.0</v>
      </c>
      <c r="O2" s="12">
        <v>113227.0</v>
      </c>
      <c r="P2" s="12">
        <v>113906.0</v>
      </c>
      <c r="Q2" s="12">
        <v>113906.0</v>
      </c>
      <c r="R2" s="12">
        <v>113928.0</v>
      </c>
      <c r="S2" s="12">
        <v>113953.0</v>
      </c>
      <c r="T2" s="12">
        <v>113958.0</v>
      </c>
      <c r="U2" s="12">
        <v>113958.0</v>
      </c>
      <c r="V2" s="12">
        <v>113960.0</v>
      </c>
      <c r="W2" s="42"/>
      <c r="X2" s="42"/>
      <c r="Y2" s="42"/>
      <c r="Z2" s="42"/>
    </row>
    <row r="3" ht="14.25" customHeight="1">
      <c r="A3" s="14" t="s">
        <v>133</v>
      </c>
      <c r="B3" s="15">
        <v>76252.0</v>
      </c>
      <c r="C3" s="16">
        <v>82477.0</v>
      </c>
      <c r="D3" s="16">
        <v>87486.0</v>
      </c>
      <c r="E3" s="17">
        <v>94089.0</v>
      </c>
      <c r="F3" s="17">
        <v>99492.0</v>
      </c>
      <c r="G3" s="17">
        <v>100658.0</v>
      </c>
      <c r="H3" s="17">
        <v>101541.0</v>
      </c>
      <c r="I3" s="17">
        <v>101541.0</v>
      </c>
      <c r="J3" s="17">
        <v>102421.0</v>
      </c>
      <c r="K3" s="17">
        <v>102472.0</v>
      </c>
      <c r="L3" s="17">
        <v>102572.0</v>
      </c>
      <c r="M3" s="17">
        <v>102802.0</v>
      </c>
      <c r="N3" s="17">
        <v>102845.0</v>
      </c>
      <c r="O3" s="17">
        <v>102845.0</v>
      </c>
      <c r="P3" s="17">
        <v>103406.0</v>
      </c>
      <c r="Q3" s="17">
        <v>103406.0</v>
      </c>
      <c r="R3" s="17">
        <v>103427.0</v>
      </c>
      <c r="S3" s="17">
        <v>103462.0</v>
      </c>
      <c r="T3" s="17">
        <v>103466.0</v>
      </c>
      <c r="U3" s="17">
        <v>103466.0</v>
      </c>
      <c r="V3" s="17">
        <v>103466.0</v>
      </c>
      <c r="W3" s="43"/>
      <c r="X3" s="43"/>
      <c r="Y3" s="43"/>
      <c r="Z3" s="43"/>
    </row>
    <row r="4">
      <c r="A4" s="20" t="s">
        <v>11</v>
      </c>
      <c r="B4" s="21">
        <f t="shared" ref="B4:V4" si="1">B2-B3</f>
        <v>12493</v>
      </c>
      <c r="C4" s="21">
        <f t="shared" si="1"/>
        <v>13637</v>
      </c>
      <c r="D4" s="21">
        <f t="shared" si="1"/>
        <v>14472</v>
      </c>
      <c r="E4" s="21">
        <f t="shared" si="1"/>
        <v>12692</v>
      </c>
      <c r="F4" s="21">
        <f t="shared" si="1"/>
        <v>11392</v>
      </c>
      <c r="G4" s="21">
        <f t="shared" si="1"/>
        <v>10999</v>
      </c>
      <c r="H4" s="21">
        <f t="shared" si="1"/>
        <v>10519</v>
      </c>
      <c r="I4" s="21">
        <f t="shared" si="1"/>
        <v>10519</v>
      </c>
      <c r="J4" s="21">
        <f t="shared" si="1"/>
        <v>10446</v>
      </c>
      <c r="K4" s="21">
        <f t="shared" si="1"/>
        <v>10430</v>
      </c>
      <c r="L4" s="21">
        <f t="shared" si="1"/>
        <v>10415</v>
      </c>
      <c r="M4" s="21">
        <f t="shared" si="1"/>
        <v>10361</v>
      </c>
      <c r="N4" s="21">
        <f t="shared" si="1"/>
        <v>10382</v>
      </c>
      <c r="O4" s="21">
        <f t="shared" si="1"/>
        <v>10382</v>
      </c>
      <c r="P4" s="21">
        <f t="shared" si="1"/>
        <v>10500</v>
      </c>
      <c r="Q4" s="21">
        <f t="shared" si="1"/>
        <v>10500</v>
      </c>
      <c r="R4" s="21">
        <f t="shared" si="1"/>
        <v>10501</v>
      </c>
      <c r="S4" s="21">
        <f t="shared" si="1"/>
        <v>10491</v>
      </c>
      <c r="T4" s="21">
        <f t="shared" si="1"/>
        <v>10492</v>
      </c>
      <c r="U4" s="21">
        <f t="shared" si="1"/>
        <v>10492</v>
      </c>
      <c r="V4" s="21">
        <f t="shared" si="1"/>
        <v>10494</v>
      </c>
    </row>
    <row r="5">
      <c r="A5" s="20" t="s">
        <v>12</v>
      </c>
      <c r="B5" s="23">
        <f t="shared" ref="B5:V5" si="2">B4/sum(B2:B3)</f>
        <v>0.07571652818</v>
      </c>
      <c r="C5" s="23">
        <f t="shared" si="2"/>
        <v>0.07635883107</v>
      </c>
      <c r="D5" s="23">
        <f t="shared" si="2"/>
        <v>0.07639196807</v>
      </c>
      <c r="E5" s="23">
        <f t="shared" si="2"/>
        <v>0.06318514462</v>
      </c>
      <c r="F5" s="23">
        <f t="shared" si="2"/>
        <v>0.05415066357</v>
      </c>
      <c r="G5" s="23">
        <f t="shared" si="2"/>
        <v>0.05180510091</v>
      </c>
      <c r="H5" s="23">
        <f t="shared" si="2"/>
        <v>0.04924602413</v>
      </c>
      <c r="I5" s="23">
        <f t="shared" si="2"/>
        <v>0.04924602413</v>
      </c>
      <c r="J5" s="23">
        <f t="shared" si="2"/>
        <v>0.04852105087</v>
      </c>
      <c r="K5" s="23">
        <f t="shared" si="2"/>
        <v>0.04842738678</v>
      </c>
      <c r="L5" s="23">
        <f t="shared" si="2"/>
        <v>0.04831623825</v>
      </c>
      <c r="M5" s="23">
        <f t="shared" si="2"/>
        <v>0.04797536638</v>
      </c>
      <c r="N5" s="23">
        <f t="shared" si="2"/>
        <v>0.04804879855</v>
      </c>
      <c r="O5" s="23">
        <f t="shared" si="2"/>
        <v>0.04804879855</v>
      </c>
      <c r="P5" s="23">
        <f t="shared" si="2"/>
        <v>0.04831762627</v>
      </c>
      <c r="Q5" s="23">
        <f t="shared" si="2"/>
        <v>0.04831762627</v>
      </c>
      <c r="R5" s="23">
        <f t="shared" si="2"/>
        <v>0.04831266822</v>
      </c>
      <c r="S5" s="23">
        <f t="shared" si="2"/>
        <v>0.04825334039</v>
      </c>
      <c r="T5" s="23">
        <f t="shared" si="2"/>
        <v>0.04825594231</v>
      </c>
      <c r="U5" s="23">
        <f t="shared" si="2"/>
        <v>0.04825594231</v>
      </c>
      <c r="V5" s="23">
        <f t="shared" si="2"/>
        <v>0.04826469695</v>
      </c>
    </row>
    <row r="6">
      <c r="A6" s="24" t="s">
        <v>13</v>
      </c>
      <c r="B6" s="27">
        <f t="shared" ref="B6:V6" si="3">SUM(B7:B8)</f>
        <v>1245481</v>
      </c>
      <c r="C6" s="27">
        <f t="shared" si="3"/>
        <v>1182841</v>
      </c>
      <c r="D6" s="27">
        <f t="shared" si="3"/>
        <v>772060</v>
      </c>
      <c r="E6" s="27">
        <f t="shared" si="3"/>
        <v>522809</v>
      </c>
      <c r="F6" s="27">
        <f t="shared" si="3"/>
        <v>489254</v>
      </c>
      <c r="G6" s="27">
        <f t="shared" si="3"/>
        <v>355747</v>
      </c>
      <c r="H6" s="27">
        <f t="shared" si="3"/>
        <v>355747</v>
      </c>
      <c r="I6" s="27">
        <f t="shared" si="3"/>
        <v>355747</v>
      </c>
      <c r="J6" s="27">
        <f t="shared" si="3"/>
        <v>39741</v>
      </c>
      <c r="K6" s="27">
        <f t="shared" si="3"/>
        <v>39741</v>
      </c>
      <c r="L6" s="27">
        <f t="shared" si="3"/>
        <v>38735</v>
      </c>
      <c r="M6" s="27">
        <f t="shared" si="3"/>
        <v>26217</v>
      </c>
      <c r="N6" s="27">
        <f t="shared" si="3"/>
        <v>25818</v>
      </c>
      <c r="O6" s="27">
        <f t="shared" si="3"/>
        <v>25818</v>
      </c>
      <c r="P6" s="27">
        <f t="shared" si="3"/>
        <v>15105</v>
      </c>
      <c r="Q6" s="27">
        <f t="shared" si="3"/>
        <v>11405</v>
      </c>
      <c r="R6" s="27">
        <f t="shared" si="3"/>
        <v>15803</v>
      </c>
      <c r="S6" s="27">
        <f t="shared" si="3"/>
        <v>11505</v>
      </c>
      <c r="T6" s="27">
        <f t="shared" si="3"/>
        <v>11405</v>
      </c>
      <c r="U6" s="27">
        <f t="shared" si="3"/>
        <v>11405</v>
      </c>
      <c r="V6" s="27">
        <f t="shared" si="3"/>
        <v>0</v>
      </c>
    </row>
    <row r="7">
      <c r="A7" s="26" t="s">
        <v>91</v>
      </c>
      <c r="B7" s="25">
        <v>1006300.0</v>
      </c>
      <c r="C7" s="25">
        <v>1006300.0</v>
      </c>
      <c r="D7" s="32">
        <v>655300.0</v>
      </c>
      <c r="E7" s="31">
        <v>463050.0</v>
      </c>
      <c r="F7" s="31">
        <v>463050.0</v>
      </c>
      <c r="G7" s="31">
        <v>332550.0</v>
      </c>
      <c r="H7" s="31">
        <v>332550.0</v>
      </c>
      <c r="I7" s="31">
        <v>332550.0</v>
      </c>
      <c r="J7" s="31">
        <v>25250.0</v>
      </c>
      <c r="K7" s="31">
        <v>25250.0</v>
      </c>
      <c r="L7" s="31">
        <v>25250.0</v>
      </c>
      <c r="M7" s="31">
        <v>15105.0</v>
      </c>
      <c r="N7" s="31">
        <v>15105.0</v>
      </c>
      <c r="O7" s="31">
        <v>15105.0</v>
      </c>
      <c r="P7" s="31">
        <v>15105.0</v>
      </c>
      <c r="Q7" s="31">
        <v>11405.0</v>
      </c>
      <c r="R7" s="31">
        <v>11405.0</v>
      </c>
      <c r="S7" s="31">
        <v>11405.0</v>
      </c>
      <c r="T7" s="31">
        <v>11405.0</v>
      </c>
      <c r="U7" s="31">
        <v>11405.0</v>
      </c>
      <c r="V7" s="31">
        <v>0.0</v>
      </c>
    </row>
    <row r="8">
      <c r="A8" s="26" t="s">
        <v>134</v>
      </c>
      <c r="B8" s="27">
        <v>239181.0</v>
      </c>
      <c r="C8" s="32">
        <v>176541.0</v>
      </c>
      <c r="D8" s="32">
        <v>116760.0</v>
      </c>
      <c r="E8" s="31">
        <v>59759.0</v>
      </c>
      <c r="F8" s="31">
        <v>26204.0</v>
      </c>
      <c r="G8" s="31">
        <v>23197.0</v>
      </c>
      <c r="H8" s="31">
        <v>23197.0</v>
      </c>
      <c r="I8" s="31">
        <v>23197.0</v>
      </c>
      <c r="J8" s="31">
        <v>14491.0</v>
      </c>
      <c r="K8" s="31">
        <v>14491.0</v>
      </c>
      <c r="L8" s="31">
        <v>13485.0</v>
      </c>
      <c r="M8" s="31">
        <v>11112.0</v>
      </c>
      <c r="N8" s="31">
        <v>10713.0</v>
      </c>
      <c r="O8" s="31">
        <v>10713.0</v>
      </c>
      <c r="P8" s="74" t="s">
        <v>135</v>
      </c>
      <c r="Q8" s="74" t="s">
        <v>135</v>
      </c>
      <c r="R8" s="31">
        <v>4398.0</v>
      </c>
      <c r="S8" s="30">
        <v>100.0</v>
      </c>
      <c r="T8" s="30">
        <v>0.0</v>
      </c>
      <c r="U8" s="30">
        <v>0.0</v>
      </c>
      <c r="V8" s="30">
        <v>0.0</v>
      </c>
    </row>
    <row r="9">
      <c r="A9" s="49"/>
      <c r="B9" s="50"/>
    </row>
    <row r="10">
      <c r="A10" s="49"/>
      <c r="B10" s="50"/>
    </row>
    <row r="11">
      <c r="A11" s="49"/>
      <c r="B11" s="50"/>
    </row>
    <row r="12">
      <c r="A12" s="34"/>
    </row>
    <row r="13">
      <c r="A13" s="34"/>
    </row>
    <row r="14">
      <c r="A14" s="34"/>
    </row>
    <row r="15">
      <c r="A15" s="34"/>
    </row>
    <row r="16">
      <c r="A16" s="34"/>
    </row>
    <row r="17">
      <c r="A17" s="34"/>
    </row>
    <row r="18">
      <c r="A18" s="45" t="s">
        <v>92</v>
      </c>
      <c r="B18" s="75" t="s">
        <v>136</v>
      </c>
    </row>
    <row r="20">
      <c r="A20" s="30" t="s">
        <v>137</v>
      </c>
    </row>
    <row r="21">
      <c r="A21" s="76"/>
    </row>
    <row r="22">
      <c r="A22" s="37" t="s">
        <v>138</v>
      </c>
    </row>
    <row r="23" ht="15.75" customHeight="1"/>
    <row r="24" ht="15.75" customHeight="1">
      <c r="A24" s="37" t="s">
        <v>139</v>
      </c>
    </row>
    <row r="25" ht="15.75" customHeight="1">
      <c r="A25" s="37" t="s">
        <v>140</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mergeCells count="5">
    <mergeCell ref="B18:T18"/>
    <mergeCell ref="A22:R22"/>
    <mergeCell ref="A24:I24"/>
    <mergeCell ref="A25:M25"/>
    <mergeCell ref="A20:F20"/>
  </mergeCells>
  <hyperlinks>
    <hyperlink r:id="rId1" ref="B18"/>
    <hyperlink r:id="rId2" ref="A22"/>
    <hyperlink r:id="rId3" ref="A24"/>
    <hyperlink r:id="rId4" ref="A25"/>
  </hyperlinks>
  <printOptions/>
  <pageMargins bottom="0.75" footer="0.0" header="0.0" left="0.7" right="0.7" top="0.75"/>
  <pageSetup orientation="landscape"/>
  <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86"/>
    <col customWidth="1" min="2" max="2" width="8.43"/>
    <col customWidth="1" min="3" max="3" width="9.14"/>
    <col customWidth="1" min="4" max="4" width="7.57"/>
    <col customWidth="1" min="5" max="13" width="8.71"/>
    <col customWidth="1" min="14" max="14" width="8.0"/>
    <col customWidth="1" min="15" max="27" width="8.71"/>
  </cols>
  <sheetData>
    <row r="1">
      <c r="A1" s="1" t="s">
        <v>141</v>
      </c>
      <c r="B1" s="51">
        <v>44879.0</v>
      </c>
      <c r="C1" s="3">
        <v>44880.0</v>
      </c>
      <c r="D1" s="3">
        <v>44881.0</v>
      </c>
      <c r="E1" s="3">
        <v>44882.0</v>
      </c>
      <c r="F1" s="3">
        <v>44883.0</v>
      </c>
      <c r="G1" s="6" t="s">
        <v>142</v>
      </c>
      <c r="H1" s="5">
        <v>44886.0</v>
      </c>
      <c r="I1" s="40" t="s">
        <v>143</v>
      </c>
      <c r="J1" s="5">
        <v>44887.0</v>
      </c>
      <c r="K1" s="6" t="s">
        <v>144</v>
      </c>
      <c r="L1" s="5">
        <v>44888.0</v>
      </c>
      <c r="M1" s="5">
        <v>44889.0</v>
      </c>
      <c r="N1" s="5">
        <v>44893.0</v>
      </c>
      <c r="O1" s="6" t="s">
        <v>145</v>
      </c>
      <c r="P1" s="5">
        <v>44894.0</v>
      </c>
      <c r="Q1" s="40" t="s">
        <v>146</v>
      </c>
      <c r="R1" s="6" t="s">
        <v>147</v>
      </c>
      <c r="S1" s="7">
        <v>44896.0</v>
      </c>
      <c r="T1" s="7">
        <v>44897.0</v>
      </c>
      <c r="U1" s="6" t="s">
        <v>148</v>
      </c>
      <c r="V1" s="8"/>
      <c r="W1" s="41"/>
      <c r="X1" s="41"/>
      <c r="Y1" s="41"/>
      <c r="Z1" s="41"/>
      <c r="AA1" s="41"/>
    </row>
    <row r="2">
      <c r="A2" s="14" t="s">
        <v>149</v>
      </c>
      <c r="B2" s="53">
        <v>105045.0</v>
      </c>
      <c r="C2" s="16">
        <v>114392.0</v>
      </c>
      <c r="D2" s="16">
        <v>120876.0</v>
      </c>
      <c r="E2" s="17">
        <v>129463.0</v>
      </c>
      <c r="F2" s="17">
        <v>133759.0</v>
      </c>
      <c r="G2" s="17">
        <v>134258.0</v>
      </c>
      <c r="H2" s="17">
        <v>134258.0</v>
      </c>
      <c r="I2" s="17">
        <v>134258.0</v>
      </c>
      <c r="J2" s="17">
        <v>135699.0</v>
      </c>
      <c r="K2" s="17">
        <v>135699.0</v>
      </c>
      <c r="L2" s="17">
        <v>135868.0</v>
      </c>
      <c r="M2" s="17">
        <v>136300.0</v>
      </c>
      <c r="N2" s="17">
        <v>136356.0</v>
      </c>
      <c r="O2" s="17">
        <v>136356.0</v>
      </c>
      <c r="P2" s="17">
        <v>137016.0</v>
      </c>
      <c r="Q2" s="17">
        <v>137297.0</v>
      </c>
      <c r="R2" s="17">
        <v>137297.0</v>
      </c>
      <c r="S2" s="17">
        <v>137332.0</v>
      </c>
      <c r="T2" s="17">
        <v>137374.0</v>
      </c>
      <c r="U2" s="17">
        <v>137374.0</v>
      </c>
      <c r="V2" s="19"/>
      <c r="W2" s="43"/>
      <c r="X2" s="43"/>
      <c r="Y2" s="43"/>
      <c r="Z2" s="43"/>
      <c r="AA2" s="43"/>
    </row>
    <row r="3">
      <c r="A3" s="9" t="s">
        <v>150</v>
      </c>
      <c r="B3" s="52">
        <v>99907.0</v>
      </c>
      <c r="C3" s="11">
        <v>111501.0</v>
      </c>
      <c r="D3" s="11">
        <v>117204.0</v>
      </c>
      <c r="E3" s="12">
        <v>122543.0</v>
      </c>
      <c r="F3" s="12">
        <v>125509.0</v>
      </c>
      <c r="G3" s="12">
        <v>125857.0</v>
      </c>
      <c r="H3" s="12">
        <v>125857.0</v>
      </c>
      <c r="I3" s="12">
        <v>125857.0</v>
      </c>
      <c r="J3" s="12">
        <v>126967.0</v>
      </c>
      <c r="K3" s="12">
        <v>126967.0</v>
      </c>
      <c r="L3" s="12">
        <v>127088.0</v>
      </c>
      <c r="M3" s="12">
        <v>127318.0</v>
      </c>
      <c r="N3" s="12">
        <v>127356.0</v>
      </c>
      <c r="O3" s="12">
        <v>127356.0</v>
      </c>
      <c r="P3" s="12">
        <v>127911.0</v>
      </c>
      <c r="Q3" s="12">
        <v>128186.0</v>
      </c>
      <c r="R3" s="12">
        <v>128186.0</v>
      </c>
      <c r="S3" s="12">
        <v>128209.0</v>
      </c>
      <c r="T3" s="12">
        <v>128261.0</v>
      </c>
      <c r="U3" s="12">
        <v>128261.0</v>
      </c>
      <c r="V3" s="13"/>
      <c r="W3" s="42"/>
      <c r="X3" s="42"/>
      <c r="Y3" s="42"/>
      <c r="Z3" s="42"/>
      <c r="AA3" s="42"/>
    </row>
    <row r="4">
      <c r="A4" s="20" t="s">
        <v>11</v>
      </c>
      <c r="B4" s="21">
        <f t="shared" ref="B4:U4" si="1">B2-B3</f>
        <v>5138</v>
      </c>
      <c r="C4" s="21">
        <f t="shared" si="1"/>
        <v>2891</v>
      </c>
      <c r="D4" s="21">
        <f t="shared" si="1"/>
        <v>3672</v>
      </c>
      <c r="E4" s="21">
        <f t="shared" si="1"/>
        <v>6920</v>
      </c>
      <c r="F4" s="21">
        <f t="shared" si="1"/>
        <v>8250</v>
      </c>
      <c r="G4" s="21">
        <f t="shared" si="1"/>
        <v>8401</v>
      </c>
      <c r="H4" s="21">
        <f t="shared" si="1"/>
        <v>8401</v>
      </c>
      <c r="I4" s="21">
        <f t="shared" si="1"/>
        <v>8401</v>
      </c>
      <c r="J4" s="21">
        <f t="shared" si="1"/>
        <v>8732</v>
      </c>
      <c r="K4" s="21">
        <f t="shared" si="1"/>
        <v>8732</v>
      </c>
      <c r="L4" s="21">
        <f t="shared" si="1"/>
        <v>8780</v>
      </c>
      <c r="M4" s="21">
        <f t="shared" si="1"/>
        <v>8982</v>
      </c>
      <c r="N4" s="21">
        <f t="shared" si="1"/>
        <v>9000</v>
      </c>
      <c r="O4" s="21">
        <f t="shared" si="1"/>
        <v>9000</v>
      </c>
      <c r="P4" s="21">
        <f t="shared" si="1"/>
        <v>9105</v>
      </c>
      <c r="Q4" s="21">
        <f t="shared" si="1"/>
        <v>9111</v>
      </c>
      <c r="R4" s="21">
        <f t="shared" si="1"/>
        <v>9111</v>
      </c>
      <c r="S4" s="21">
        <f t="shared" si="1"/>
        <v>9123</v>
      </c>
      <c r="T4" s="21">
        <f t="shared" si="1"/>
        <v>9113</v>
      </c>
      <c r="U4" s="21">
        <f t="shared" si="1"/>
        <v>9113</v>
      </c>
      <c r="V4" s="22"/>
    </row>
    <row r="5">
      <c r="A5" s="20" t="s">
        <v>12</v>
      </c>
      <c r="B5" s="23">
        <f t="shared" ref="B5:U5" si="2">B4/sum(B2:B3)</f>
        <v>0.02506928452</v>
      </c>
      <c r="C5" s="23">
        <f t="shared" si="2"/>
        <v>0.01279809467</v>
      </c>
      <c r="D5" s="23">
        <f t="shared" si="2"/>
        <v>0.0154233871</v>
      </c>
      <c r="E5" s="23">
        <f t="shared" si="2"/>
        <v>0.02745966366</v>
      </c>
      <c r="F5" s="23">
        <f t="shared" si="2"/>
        <v>0.03182035577</v>
      </c>
      <c r="G5" s="23">
        <f t="shared" si="2"/>
        <v>0.03229725314</v>
      </c>
      <c r="H5" s="23">
        <f t="shared" si="2"/>
        <v>0.03229725314</v>
      </c>
      <c r="I5" s="23">
        <f t="shared" si="2"/>
        <v>0.03229725314</v>
      </c>
      <c r="J5" s="23">
        <f t="shared" si="2"/>
        <v>0.0332437392</v>
      </c>
      <c r="K5" s="23">
        <f t="shared" si="2"/>
        <v>0.0332437392</v>
      </c>
      <c r="L5" s="23">
        <f t="shared" si="2"/>
        <v>0.03338961651</v>
      </c>
      <c r="M5" s="23">
        <f t="shared" si="2"/>
        <v>0.03407202847</v>
      </c>
      <c r="N5" s="23">
        <f t="shared" si="2"/>
        <v>0.03412813979</v>
      </c>
      <c r="O5" s="23">
        <f t="shared" si="2"/>
        <v>0.03412813979</v>
      </c>
      <c r="P5" s="23">
        <f t="shared" si="2"/>
        <v>0.03436795797</v>
      </c>
      <c r="Q5" s="23">
        <f t="shared" si="2"/>
        <v>0.0343185816</v>
      </c>
      <c r="R5" s="23">
        <f t="shared" si="2"/>
        <v>0.0343185816</v>
      </c>
      <c r="S5" s="23">
        <f t="shared" si="2"/>
        <v>0.03435627643</v>
      </c>
      <c r="T5" s="23">
        <f t="shared" si="2"/>
        <v>0.03430647317</v>
      </c>
      <c r="U5" s="23">
        <f t="shared" si="2"/>
        <v>0.03430647317</v>
      </c>
    </row>
    <row r="6">
      <c r="A6" s="24" t="s">
        <v>13</v>
      </c>
      <c r="B6" s="21">
        <v>239181.0</v>
      </c>
      <c r="C6" s="21">
        <v>176541.0</v>
      </c>
      <c r="D6" s="32">
        <v>116760.0</v>
      </c>
      <c r="E6" s="31">
        <v>59759.0</v>
      </c>
      <c r="F6" s="31">
        <v>26204.0</v>
      </c>
      <c r="G6" s="31">
        <v>23197.0</v>
      </c>
      <c r="H6" s="31">
        <v>23197.0</v>
      </c>
      <c r="I6" s="31">
        <v>23197.0</v>
      </c>
      <c r="J6" s="31">
        <v>14491.0</v>
      </c>
      <c r="K6" s="31">
        <v>14491.0</v>
      </c>
      <c r="L6" s="31">
        <v>13485.0</v>
      </c>
      <c r="M6" s="31">
        <v>11112.0</v>
      </c>
      <c r="N6" s="31">
        <v>10713.0</v>
      </c>
      <c r="O6" s="31">
        <v>10713.0</v>
      </c>
      <c r="P6" s="31">
        <v>6688.0</v>
      </c>
      <c r="Q6" s="31">
        <v>4690.0</v>
      </c>
      <c r="R6" s="31">
        <v>4690.0</v>
      </c>
      <c r="S6" s="31">
        <v>4398.0</v>
      </c>
      <c r="T6" s="30">
        <v>100.0</v>
      </c>
      <c r="U6" s="30">
        <v>0.0</v>
      </c>
    </row>
    <row r="7">
      <c r="A7" s="26" t="s">
        <v>134</v>
      </c>
      <c r="B7" s="21">
        <v>239181.0</v>
      </c>
      <c r="C7" s="21">
        <v>176541.0</v>
      </c>
      <c r="D7" s="32">
        <v>116760.0</v>
      </c>
      <c r="E7" s="31">
        <v>59759.0</v>
      </c>
      <c r="F7" s="31">
        <v>26204.0</v>
      </c>
      <c r="G7" s="31">
        <v>23197.0</v>
      </c>
      <c r="H7" s="31">
        <v>23197.0</v>
      </c>
      <c r="I7" s="31">
        <v>23197.0</v>
      </c>
      <c r="J7" s="31">
        <v>14491.0</v>
      </c>
      <c r="K7" s="31">
        <v>14491.0</v>
      </c>
      <c r="L7" s="31">
        <v>13485.0</v>
      </c>
      <c r="M7" s="31">
        <v>11112.0</v>
      </c>
      <c r="N7" s="31">
        <v>10713.0</v>
      </c>
      <c r="O7" s="31">
        <v>10713.0</v>
      </c>
      <c r="P7" s="31">
        <v>6688.0</v>
      </c>
      <c r="Q7" s="31">
        <v>4690.0</v>
      </c>
      <c r="R7" s="31">
        <v>4690.0</v>
      </c>
      <c r="S7" s="31">
        <v>4398.0</v>
      </c>
      <c r="T7" s="30">
        <v>100.0</v>
      </c>
      <c r="U7" s="30">
        <v>0.0</v>
      </c>
    </row>
    <row r="8">
      <c r="A8" s="34"/>
      <c r="B8" s="77"/>
    </row>
    <row r="9">
      <c r="A9" s="34"/>
      <c r="B9" s="77"/>
    </row>
    <row r="10">
      <c r="A10" s="34"/>
      <c r="B10" s="77"/>
    </row>
    <row r="11">
      <c r="A11" s="34"/>
      <c r="B11" s="77"/>
    </row>
    <row r="12">
      <c r="A12" s="34"/>
      <c r="B12" s="77"/>
    </row>
    <row r="13">
      <c r="A13" s="34"/>
      <c r="B13" s="77"/>
    </row>
    <row r="14">
      <c r="A14" s="34"/>
      <c r="B14" s="77"/>
    </row>
    <row r="15">
      <c r="A15" s="34"/>
      <c r="B15" s="77"/>
    </row>
    <row r="16">
      <c r="A16" s="34"/>
      <c r="B16" s="77"/>
    </row>
    <row r="17">
      <c r="A17" s="34"/>
      <c r="B17" s="77"/>
    </row>
    <row r="18">
      <c r="A18" s="24" t="s">
        <v>92</v>
      </c>
      <c r="B18" s="78" t="s">
        <v>151</v>
      </c>
    </row>
    <row r="19">
      <c r="A19" s="34"/>
      <c r="B19" s="77"/>
    </row>
    <row r="20">
      <c r="A20" s="30" t="s">
        <v>152</v>
      </c>
    </row>
    <row r="21">
      <c r="A21" s="79"/>
      <c r="B21" s="77"/>
    </row>
    <row r="22">
      <c r="A22" s="80" t="s">
        <v>153</v>
      </c>
    </row>
    <row r="23" ht="15.75" customHeight="1">
      <c r="A23" s="34"/>
      <c r="B23" s="77"/>
    </row>
    <row r="24" ht="15.75" customHeight="1">
      <c r="A24" s="37" t="s">
        <v>154</v>
      </c>
    </row>
    <row r="25" ht="15.75" customHeight="1">
      <c r="A25" s="34"/>
      <c r="B25" s="77"/>
    </row>
    <row r="26" ht="15.75" customHeight="1">
      <c r="A26" s="34"/>
      <c r="B26" s="77"/>
    </row>
    <row r="27" ht="15.75" customHeight="1">
      <c r="A27" s="34"/>
      <c r="B27" s="77"/>
    </row>
    <row r="28" ht="15.75" customHeight="1">
      <c r="A28" s="34"/>
      <c r="B28" s="77"/>
    </row>
    <row r="29" ht="15.75" customHeight="1">
      <c r="A29" s="34"/>
      <c r="B29" s="77"/>
    </row>
    <row r="30" ht="15.75" customHeight="1">
      <c r="A30" s="34"/>
      <c r="B30" s="77"/>
    </row>
    <row r="31" ht="15.75" customHeight="1">
      <c r="A31" s="34"/>
      <c r="B31" s="77"/>
    </row>
    <row r="32" ht="15.75" customHeight="1">
      <c r="A32" s="34"/>
      <c r="B32" s="77"/>
    </row>
    <row r="33" ht="15.75" customHeight="1">
      <c r="A33" s="34"/>
      <c r="B33" s="77"/>
    </row>
    <row r="34" ht="15.75" customHeight="1">
      <c r="A34" s="34"/>
      <c r="B34" s="77"/>
    </row>
    <row r="35" ht="15.75" customHeight="1">
      <c r="A35" s="34"/>
      <c r="B35" s="77"/>
    </row>
    <row r="36" ht="15.75" customHeight="1">
      <c r="A36" s="34"/>
      <c r="B36" s="77"/>
    </row>
    <row r="37" ht="15.75" customHeight="1">
      <c r="A37" s="34"/>
      <c r="B37" s="77"/>
    </row>
    <row r="38" ht="15.75" customHeight="1">
      <c r="A38" s="34"/>
      <c r="B38" s="77"/>
    </row>
    <row r="39" ht="15.75" customHeight="1">
      <c r="A39" s="34"/>
      <c r="B39" s="77"/>
    </row>
    <row r="40" ht="15.75" customHeight="1">
      <c r="A40" s="34"/>
      <c r="B40" s="77"/>
    </row>
    <row r="41" ht="15.75" customHeight="1">
      <c r="A41" s="34"/>
      <c r="B41" s="77"/>
    </row>
    <row r="42" ht="15.75" customHeight="1">
      <c r="A42" s="34"/>
      <c r="B42" s="77"/>
    </row>
    <row r="43" ht="15.75" customHeight="1">
      <c r="A43" s="34"/>
      <c r="B43" s="77"/>
    </row>
    <row r="44" ht="15.75" customHeight="1">
      <c r="A44" s="34"/>
      <c r="B44" s="77"/>
    </row>
    <row r="45" ht="15.75" customHeight="1">
      <c r="A45" s="34"/>
      <c r="B45" s="77"/>
    </row>
    <row r="46" ht="15.75" customHeight="1">
      <c r="A46" s="34"/>
      <c r="B46" s="77"/>
    </row>
    <row r="47" ht="15.75" customHeight="1">
      <c r="A47" s="34"/>
      <c r="B47" s="77"/>
    </row>
    <row r="48" ht="15.75" customHeight="1">
      <c r="A48" s="34"/>
      <c r="B48" s="77"/>
    </row>
    <row r="49" ht="15.75" customHeight="1">
      <c r="A49" s="34"/>
      <c r="B49" s="77"/>
    </row>
    <row r="50" ht="15.75" customHeight="1">
      <c r="A50" s="34"/>
      <c r="B50" s="77"/>
    </row>
    <row r="51" ht="15.75" customHeight="1">
      <c r="A51" s="34"/>
      <c r="B51" s="77"/>
    </row>
    <row r="52" ht="15.75" customHeight="1">
      <c r="A52" s="34"/>
      <c r="B52" s="77"/>
    </row>
    <row r="53" ht="15.75" customHeight="1">
      <c r="A53" s="34"/>
      <c r="B53" s="77"/>
    </row>
    <row r="54" ht="15.75" customHeight="1">
      <c r="A54" s="34"/>
      <c r="B54" s="77"/>
    </row>
    <row r="55" ht="15.75" customHeight="1">
      <c r="A55" s="34"/>
      <c r="B55" s="77"/>
    </row>
    <row r="56" ht="15.75" customHeight="1">
      <c r="A56" s="34"/>
      <c r="B56" s="77"/>
    </row>
    <row r="57" ht="15.75" customHeight="1">
      <c r="A57" s="34"/>
      <c r="B57" s="77"/>
    </row>
    <row r="58" ht="15.75" customHeight="1">
      <c r="A58" s="34"/>
      <c r="B58" s="77"/>
    </row>
    <row r="59" ht="15.75" customHeight="1">
      <c r="A59" s="34"/>
      <c r="B59" s="77"/>
    </row>
    <row r="60" ht="15.75" customHeight="1">
      <c r="A60" s="34"/>
      <c r="B60" s="77"/>
    </row>
    <row r="61" ht="15.75" customHeight="1">
      <c r="A61" s="34"/>
      <c r="B61" s="77"/>
    </row>
    <row r="62" ht="15.75" customHeight="1">
      <c r="A62" s="34"/>
      <c r="B62" s="77"/>
    </row>
    <row r="63" ht="15.75" customHeight="1">
      <c r="A63" s="34"/>
      <c r="B63" s="77"/>
    </row>
    <row r="64" ht="15.75" customHeight="1">
      <c r="A64" s="34"/>
      <c r="B64" s="77"/>
    </row>
    <row r="65" ht="15.75" customHeight="1">
      <c r="A65" s="34"/>
      <c r="B65" s="77"/>
    </row>
    <row r="66" ht="15.75" customHeight="1">
      <c r="A66" s="34"/>
      <c r="B66" s="77"/>
    </row>
    <row r="67" ht="15.75" customHeight="1">
      <c r="A67" s="34"/>
      <c r="B67" s="77"/>
    </row>
    <row r="68" ht="15.75" customHeight="1">
      <c r="A68" s="34"/>
      <c r="B68" s="77"/>
    </row>
    <row r="69" ht="15.75" customHeight="1">
      <c r="A69" s="34"/>
      <c r="B69" s="77"/>
    </row>
    <row r="70" ht="15.75" customHeight="1">
      <c r="A70" s="34"/>
      <c r="B70" s="77"/>
    </row>
    <row r="71" ht="15.75" customHeight="1">
      <c r="A71" s="34"/>
      <c r="B71" s="77"/>
    </row>
    <row r="72" ht="15.75" customHeight="1">
      <c r="A72" s="34"/>
      <c r="B72" s="77"/>
    </row>
    <row r="73" ht="15.75" customHeight="1">
      <c r="A73" s="34"/>
      <c r="B73" s="77"/>
    </row>
    <row r="74" ht="15.75" customHeight="1">
      <c r="A74" s="34"/>
      <c r="B74" s="77"/>
    </row>
    <row r="75" ht="15.75" customHeight="1">
      <c r="A75" s="34"/>
      <c r="B75" s="77"/>
    </row>
    <row r="76" ht="15.75" customHeight="1">
      <c r="A76" s="34"/>
      <c r="B76" s="77"/>
    </row>
    <row r="77" ht="15.75" customHeight="1">
      <c r="A77" s="34"/>
      <c r="B77" s="77"/>
    </row>
    <row r="78" ht="15.75" customHeight="1">
      <c r="A78" s="34"/>
      <c r="B78" s="77"/>
    </row>
    <row r="79" ht="15.75" customHeight="1">
      <c r="A79" s="34"/>
      <c r="B79" s="77"/>
    </row>
    <row r="80" ht="15.75" customHeight="1">
      <c r="A80" s="34"/>
      <c r="B80" s="77"/>
    </row>
    <row r="81" ht="15.75" customHeight="1">
      <c r="A81" s="34"/>
      <c r="B81" s="77"/>
    </row>
    <row r="82" ht="15.75" customHeight="1">
      <c r="A82" s="34"/>
      <c r="B82" s="77"/>
    </row>
    <row r="83" ht="15.75" customHeight="1">
      <c r="A83" s="34"/>
      <c r="B83" s="77"/>
    </row>
    <row r="84" ht="15.75" customHeight="1">
      <c r="A84" s="34"/>
      <c r="B84" s="77"/>
    </row>
    <row r="85" ht="15.75" customHeight="1">
      <c r="A85" s="34"/>
      <c r="B85" s="77"/>
    </row>
    <row r="86" ht="15.75" customHeight="1">
      <c r="A86" s="34"/>
      <c r="B86" s="77"/>
    </row>
    <row r="87" ht="15.75" customHeight="1">
      <c r="A87" s="34"/>
      <c r="B87" s="77"/>
    </row>
    <row r="88" ht="15.75" customHeight="1">
      <c r="A88" s="34"/>
      <c r="B88" s="77"/>
    </row>
    <row r="89" ht="15.75" customHeight="1">
      <c r="A89" s="34"/>
      <c r="B89" s="77"/>
    </row>
    <row r="90" ht="15.75" customHeight="1">
      <c r="A90" s="34"/>
      <c r="B90" s="77"/>
    </row>
    <row r="91" ht="15.75" customHeight="1">
      <c r="A91" s="34"/>
      <c r="B91" s="77"/>
    </row>
    <row r="92" ht="15.75" customHeight="1">
      <c r="A92" s="34"/>
      <c r="B92" s="77"/>
    </row>
    <row r="93" ht="15.75" customHeight="1">
      <c r="A93" s="34"/>
      <c r="B93" s="77"/>
    </row>
    <row r="94" ht="15.75" customHeight="1">
      <c r="A94" s="34"/>
      <c r="B94" s="77"/>
    </row>
    <row r="95" ht="15.75" customHeight="1">
      <c r="A95" s="34"/>
      <c r="B95" s="77"/>
    </row>
    <row r="96" ht="15.75" customHeight="1">
      <c r="A96" s="34"/>
      <c r="B96" s="77"/>
    </row>
    <row r="97" ht="15.75" customHeight="1">
      <c r="A97" s="34"/>
      <c r="B97" s="77"/>
    </row>
    <row r="98" ht="15.75" customHeight="1">
      <c r="A98" s="34"/>
      <c r="B98" s="77"/>
    </row>
    <row r="99" ht="15.75" customHeight="1">
      <c r="A99" s="34"/>
      <c r="B99" s="77"/>
    </row>
    <row r="100" ht="15.75" customHeight="1">
      <c r="A100" s="34"/>
      <c r="B100" s="77"/>
    </row>
    <row r="101" ht="15.75" customHeight="1">
      <c r="A101" s="34"/>
      <c r="B101" s="77"/>
    </row>
    <row r="102" ht="15.75" customHeight="1">
      <c r="A102" s="34"/>
      <c r="B102" s="77"/>
    </row>
    <row r="103" ht="15.75" customHeight="1">
      <c r="A103" s="34"/>
      <c r="B103" s="77"/>
    </row>
    <row r="104" ht="15.75" customHeight="1">
      <c r="A104" s="34"/>
      <c r="B104" s="77"/>
    </row>
    <row r="105" ht="15.75" customHeight="1">
      <c r="A105" s="34"/>
      <c r="B105" s="77"/>
    </row>
    <row r="106" ht="15.75" customHeight="1">
      <c r="A106" s="34"/>
      <c r="B106" s="77"/>
    </row>
    <row r="107" ht="15.75" customHeight="1">
      <c r="A107" s="34"/>
      <c r="B107" s="77"/>
    </row>
    <row r="108" ht="15.75" customHeight="1">
      <c r="A108" s="34"/>
      <c r="B108" s="77"/>
    </row>
    <row r="109" ht="15.75" customHeight="1">
      <c r="A109" s="34"/>
      <c r="B109" s="77"/>
    </row>
    <row r="110" ht="15.75" customHeight="1">
      <c r="A110" s="34"/>
      <c r="B110" s="77"/>
    </row>
    <row r="111" ht="15.75" customHeight="1">
      <c r="A111" s="34"/>
      <c r="B111" s="77"/>
    </row>
    <row r="112" ht="15.75" customHeight="1">
      <c r="A112" s="34"/>
      <c r="B112" s="77"/>
    </row>
    <row r="113" ht="15.75" customHeight="1">
      <c r="A113" s="34"/>
      <c r="B113" s="77"/>
    </row>
    <row r="114" ht="15.75" customHeight="1">
      <c r="A114" s="34"/>
      <c r="B114" s="77"/>
    </row>
    <row r="115" ht="15.75" customHeight="1">
      <c r="A115" s="34"/>
      <c r="B115" s="77"/>
    </row>
    <row r="116" ht="15.75" customHeight="1">
      <c r="A116" s="34"/>
      <c r="B116" s="77"/>
    </row>
    <row r="117" ht="15.75" customHeight="1">
      <c r="A117" s="34"/>
      <c r="B117" s="77"/>
    </row>
    <row r="118" ht="15.75" customHeight="1">
      <c r="A118" s="34"/>
      <c r="B118" s="77"/>
    </row>
    <row r="119" ht="15.75" customHeight="1">
      <c r="A119" s="34"/>
      <c r="B119" s="77"/>
    </row>
    <row r="120" ht="15.75" customHeight="1">
      <c r="A120" s="34"/>
      <c r="B120" s="77"/>
    </row>
    <row r="121" ht="15.75" customHeight="1">
      <c r="A121" s="34"/>
      <c r="B121" s="77"/>
    </row>
    <row r="122" ht="15.75" customHeight="1">
      <c r="A122" s="34"/>
      <c r="B122" s="77"/>
    </row>
    <row r="123" ht="15.75" customHeight="1">
      <c r="A123" s="34"/>
      <c r="B123" s="77"/>
    </row>
    <row r="124" ht="15.75" customHeight="1">
      <c r="A124" s="34"/>
      <c r="B124" s="77"/>
    </row>
    <row r="125" ht="15.75" customHeight="1">
      <c r="A125" s="34"/>
      <c r="B125" s="77"/>
    </row>
    <row r="126" ht="15.75" customHeight="1">
      <c r="A126" s="34"/>
      <c r="B126" s="77"/>
    </row>
    <row r="127" ht="15.75" customHeight="1">
      <c r="A127" s="34"/>
      <c r="B127" s="77"/>
    </row>
    <row r="128" ht="15.75" customHeight="1">
      <c r="A128" s="34"/>
      <c r="B128" s="77"/>
    </row>
    <row r="129" ht="15.75" customHeight="1">
      <c r="A129" s="34"/>
      <c r="B129" s="77"/>
    </row>
    <row r="130" ht="15.75" customHeight="1">
      <c r="A130" s="34"/>
      <c r="B130" s="77"/>
    </row>
    <row r="131" ht="15.75" customHeight="1">
      <c r="A131" s="34"/>
      <c r="B131" s="77"/>
    </row>
    <row r="132" ht="15.75" customHeight="1">
      <c r="A132" s="34"/>
      <c r="B132" s="77"/>
    </row>
    <row r="133" ht="15.75" customHeight="1">
      <c r="A133" s="34"/>
      <c r="B133" s="77"/>
    </row>
    <row r="134" ht="15.75" customHeight="1">
      <c r="A134" s="34"/>
      <c r="B134" s="77"/>
    </row>
    <row r="135" ht="15.75" customHeight="1">
      <c r="A135" s="34"/>
      <c r="B135" s="77"/>
    </row>
    <row r="136" ht="15.75" customHeight="1">
      <c r="A136" s="34"/>
      <c r="B136" s="77"/>
    </row>
    <row r="137" ht="15.75" customHeight="1">
      <c r="A137" s="34"/>
      <c r="B137" s="77"/>
    </row>
    <row r="138" ht="15.75" customHeight="1">
      <c r="A138" s="34"/>
      <c r="B138" s="77"/>
    </row>
    <row r="139" ht="15.75" customHeight="1">
      <c r="A139" s="34"/>
      <c r="B139" s="77"/>
    </row>
    <row r="140" ht="15.75" customHeight="1">
      <c r="A140" s="34"/>
      <c r="B140" s="77"/>
    </row>
    <row r="141" ht="15.75" customHeight="1">
      <c r="A141" s="34"/>
      <c r="B141" s="77"/>
    </row>
    <row r="142" ht="15.75" customHeight="1">
      <c r="A142" s="34"/>
      <c r="B142" s="77"/>
    </row>
    <row r="143" ht="15.75" customHeight="1">
      <c r="A143" s="34"/>
      <c r="B143" s="77"/>
    </row>
    <row r="144" ht="15.75" customHeight="1">
      <c r="A144" s="34"/>
      <c r="B144" s="77"/>
    </row>
    <row r="145" ht="15.75" customHeight="1">
      <c r="A145" s="34"/>
      <c r="B145" s="77"/>
    </row>
    <row r="146" ht="15.75" customHeight="1">
      <c r="A146" s="34"/>
      <c r="B146" s="77"/>
    </row>
    <row r="147" ht="15.75" customHeight="1">
      <c r="A147" s="34"/>
      <c r="B147" s="77"/>
    </row>
    <row r="148" ht="15.75" customHeight="1">
      <c r="A148" s="34"/>
      <c r="B148" s="77"/>
    </row>
    <row r="149" ht="15.75" customHeight="1">
      <c r="A149" s="34"/>
      <c r="B149" s="77"/>
    </row>
    <row r="150" ht="15.75" customHeight="1">
      <c r="A150" s="34"/>
      <c r="B150" s="77"/>
    </row>
    <row r="151" ht="15.75" customHeight="1">
      <c r="A151" s="34"/>
      <c r="B151" s="77"/>
    </row>
    <row r="152" ht="15.75" customHeight="1">
      <c r="A152" s="34"/>
      <c r="B152" s="77"/>
    </row>
    <row r="153" ht="15.75" customHeight="1">
      <c r="A153" s="34"/>
      <c r="B153" s="77"/>
    </row>
    <row r="154" ht="15.75" customHeight="1">
      <c r="A154" s="34"/>
      <c r="B154" s="77"/>
    </row>
    <row r="155" ht="15.75" customHeight="1">
      <c r="A155" s="34"/>
      <c r="B155" s="77"/>
    </row>
    <row r="156" ht="15.75" customHeight="1">
      <c r="A156" s="34"/>
      <c r="B156" s="77"/>
    </row>
    <row r="157" ht="15.75" customHeight="1">
      <c r="A157" s="34"/>
      <c r="B157" s="77"/>
    </row>
    <row r="158" ht="15.75" customHeight="1">
      <c r="A158" s="34"/>
      <c r="B158" s="77"/>
    </row>
    <row r="159" ht="15.75" customHeight="1">
      <c r="A159" s="34"/>
      <c r="B159" s="77"/>
    </row>
    <row r="160" ht="15.75" customHeight="1">
      <c r="A160" s="34"/>
      <c r="B160" s="77"/>
    </row>
    <row r="161" ht="15.75" customHeight="1">
      <c r="A161" s="34"/>
      <c r="B161" s="77"/>
    </row>
    <row r="162" ht="15.75" customHeight="1">
      <c r="A162" s="34"/>
      <c r="B162" s="77"/>
    </row>
    <row r="163" ht="15.75" customHeight="1">
      <c r="A163" s="34"/>
      <c r="B163" s="77"/>
    </row>
    <row r="164" ht="15.75" customHeight="1">
      <c r="A164" s="34"/>
      <c r="B164" s="77"/>
    </row>
    <row r="165" ht="15.75" customHeight="1">
      <c r="A165" s="34"/>
      <c r="B165" s="77"/>
    </row>
    <row r="166" ht="15.75" customHeight="1">
      <c r="A166" s="34"/>
      <c r="B166" s="77"/>
    </row>
    <row r="167" ht="15.75" customHeight="1">
      <c r="A167" s="34"/>
      <c r="B167" s="77"/>
    </row>
    <row r="168" ht="15.75" customHeight="1">
      <c r="A168" s="34"/>
      <c r="B168" s="77"/>
    </row>
    <row r="169" ht="15.75" customHeight="1">
      <c r="A169" s="34"/>
      <c r="B169" s="77"/>
    </row>
    <row r="170" ht="15.75" customHeight="1">
      <c r="A170" s="34"/>
      <c r="B170" s="77"/>
    </row>
    <row r="171" ht="15.75" customHeight="1">
      <c r="A171" s="34"/>
      <c r="B171" s="77"/>
    </row>
    <row r="172" ht="15.75" customHeight="1">
      <c r="A172" s="34"/>
      <c r="B172" s="77"/>
    </row>
    <row r="173" ht="15.75" customHeight="1">
      <c r="A173" s="34"/>
      <c r="B173" s="77"/>
    </row>
    <row r="174" ht="15.75" customHeight="1">
      <c r="A174" s="34"/>
      <c r="B174" s="77"/>
    </row>
    <row r="175" ht="15.75" customHeight="1">
      <c r="A175" s="34"/>
      <c r="B175" s="77"/>
    </row>
    <row r="176" ht="15.75" customHeight="1">
      <c r="A176" s="34"/>
      <c r="B176" s="77"/>
    </row>
    <row r="177" ht="15.75" customHeight="1">
      <c r="A177" s="34"/>
      <c r="B177" s="77"/>
    </row>
    <row r="178" ht="15.75" customHeight="1">
      <c r="A178" s="34"/>
      <c r="B178" s="77"/>
    </row>
    <row r="179" ht="15.75" customHeight="1">
      <c r="A179" s="34"/>
      <c r="B179" s="77"/>
    </row>
    <row r="180" ht="15.75" customHeight="1">
      <c r="A180" s="34"/>
      <c r="B180" s="77"/>
    </row>
    <row r="181" ht="15.75" customHeight="1">
      <c r="A181" s="34"/>
      <c r="B181" s="77"/>
    </row>
    <row r="182" ht="15.75" customHeight="1">
      <c r="A182" s="34"/>
      <c r="B182" s="77"/>
    </row>
    <row r="183" ht="15.75" customHeight="1">
      <c r="A183" s="34"/>
      <c r="B183" s="77"/>
    </row>
    <row r="184" ht="15.75" customHeight="1">
      <c r="A184" s="34"/>
      <c r="B184" s="77"/>
    </row>
    <row r="185" ht="15.75" customHeight="1">
      <c r="A185" s="34"/>
      <c r="B185" s="77"/>
    </row>
    <row r="186" ht="15.75" customHeight="1">
      <c r="A186" s="34"/>
      <c r="B186" s="77"/>
    </row>
    <row r="187" ht="15.75" customHeight="1">
      <c r="A187" s="34"/>
      <c r="B187" s="77"/>
    </row>
    <row r="188" ht="15.75" customHeight="1">
      <c r="A188" s="34"/>
      <c r="B188" s="77"/>
    </row>
    <row r="189" ht="15.75" customHeight="1">
      <c r="A189" s="34"/>
      <c r="B189" s="77"/>
    </row>
    <row r="190" ht="15.75" customHeight="1">
      <c r="A190" s="34"/>
      <c r="B190" s="77"/>
    </row>
    <row r="191" ht="15.75" customHeight="1">
      <c r="A191" s="34"/>
      <c r="B191" s="77"/>
    </row>
    <row r="192" ht="15.75" customHeight="1">
      <c r="A192" s="34"/>
      <c r="B192" s="77"/>
    </row>
    <row r="193" ht="15.75" customHeight="1">
      <c r="A193" s="34"/>
      <c r="B193" s="77"/>
    </row>
    <row r="194" ht="15.75" customHeight="1">
      <c r="A194" s="34"/>
      <c r="B194" s="77"/>
    </row>
    <row r="195" ht="15.75" customHeight="1">
      <c r="A195" s="34"/>
      <c r="B195" s="77"/>
    </row>
    <row r="196" ht="15.75" customHeight="1">
      <c r="A196" s="34"/>
      <c r="B196" s="77"/>
    </row>
    <row r="197" ht="15.75" customHeight="1">
      <c r="A197" s="34"/>
      <c r="B197" s="77"/>
    </row>
    <row r="198" ht="15.75" customHeight="1">
      <c r="A198" s="34"/>
      <c r="B198" s="77"/>
    </row>
    <row r="199" ht="15.75" customHeight="1">
      <c r="A199" s="34"/>
      <c r="B199" s="77"/>
    </row>
    <row r="200" ht="15.75" customHeight="1">
      <c r="A200" s="34"/>
      <c r="B200" s="77"/>
    </row>
    <row r="201" ht="15.75" customHeight="1">
      <c r="A201" s="34"/>
      <c r="B201" s="77"/>
    </row>
    <row r="202" ht="15.75" customHeight="1">
      <c r="A202" s="34"/>
      <c r="B202" s="77"/>
    </row>
    <row r="203" ht="15.75" customHeight="1">
      <c r="A203" s="34"/>
      <c r="B203" s="77"/>
    </row>
    <row r="204" ht="15.75" customHeight="1">
      <c r="A204" s="34"/>
      <c r="B204" s="77"/>
    </row>
    <row r="205" ht="15.75" customHeight="1">
      <c r="A205" s="34"/>
      <c r="B205" s="77"/>
    </row>
    <row r="206" ht="15.75" customHeight="1">
      <c r="A206" s="34"/>
      <c r="B206" s="77"/>
    </row>
    <row r="207" ht="15.75" customHeight="1">
      <c r="A207" s="34"/>
      <c r="B207" s="77"/>
    </row>
    <row r="208" ht="15.75" customHeight="1">
      <c r="A208" s="34"/>
      <c r="B208" s="77"/>
    </row>
    <row r="209" ht="15.75" customHeight="1">
      <c r="A209" s="34"/>
      <c r="B209" s="77"/>
    </row>
    <row r="210" ht="15.75" customHeight="1">
      <c r="A210" s="34"/>
      <c r="B210" s="77"/>
    </row>
    <row r="211" ht="15.75" customHeight="1">
      <c r="A211" s="34"/>
      <c r="B211" s="77"/>
    </row>
    <row r="212" ht="15.75" customHeight="1">
      <c r="A212" s="34"/>
      <c r="B212" s="77"/>
    </row>
    <row r="213" ht="15.75" customHeight="1">
      <c r="A213" s="34"/>
      <c r="B213" s="77"/>
    </row>
    <row r="214" ht="15.75" customHeight="1">
      <c r="A214" s="34"/>
      <c r="B214" s="77"/>
    </row>
    <row r="215" ht="15.75" customHeight="1">
      <c r="A215" s="34"/>
      <c r="B215" s="77"/>
    </row>
    <row r="216" ht="15.75" customHeight="1">
      <c r="A216" s="34"/>
      <c r="B216" s="77"/>
    </row>
    <row r="217" ht="15.75" customHeight="1">
      <c r="A217" s="34"/>
      <c r="B217" s="77"/>
    </row>
    <row r="218" ht="15.75" customHeight="1">
      <c r="A218" s="34"/>
      <c r="B218" s="77"/>
    </row>
    <row r="219" ht="15.75" customHeight="1">
      <c r="A219" s="34"/>
      <c r="B219" s="77"/>
    </row>
    <row r="220" ht="15.75" customHeight="1">
      <c r="A220" s="34"/>
      <c r="B220" s="77"/>
    </row>
    <row r="221" ht="15.75" customHeight="1">
      <c r="A221" s="34"/>
      <c r="B221" s="77"/>
    </row>
    <row r="222" ht="15.75" customHeight="1">
      <c r="A222" s="34"/>
      <c r="B222" s="77"/>
    </row>
    <row r="223" ht="15.75" customHeight="1">
      <c r="A223" s="34"/>
      <c r="B223" s="77"/>
    </row>
    <row r="224" ht="15.75" customHeight="1">
      <c r="A224" s="34"/>
      <c r="B224" s="77"/>
    </row>
    <row r="225" ht="15.75" customHeight="1">
      <c r="A225" s="34"/>
      <c r="B225" s="77"/>
    </row>
    <row r="226" ht="15.75" customHeight="1">
      <c r="A226" s="34"/>
      <c r="B226" s="77"/>
    </row>
    <row r="227" ht="15.75" customHeight="1">
      <c r="A227" s="34"/>
      <c r="B227" s="77"/>
    </row>
    <row r="228" ht="15.75" customHeight="1">
      <c r="A228" s="34"/>
      <c r="B228" s="77"/>
    </row>
    <row r="229" ht="15.75" customHeight="1">
      <c r="A229" s="34"/>
      <c r="B229" s="77"/>
    </row>
    <row r="230" ht="15.75" customHeight="1">
      <c r="A230" s="34"/>
      <c r="B230" s="77"/>
    </row>
    <row r="231" ht="15.75" customHeight="1">
      <c r="A231" s="34"/>
      <c r="B231" s="77"/>
    </row>
    <row r="232" ht="15.75" customHeight="1">
      <c r="A232" s="34"/>
      <c r="B232" s="77"/>
    </row>
    <row r="233" ht="15.75" customHeight="1">
      <c r="A233" s="34"/>
      <c r="B233" s="77"/>
    </row>
    <row r="234" ht="15.75" customHeight="1">
      <c r="A234" s="34"/>
      <c r="B234" s="77"/>
    </row>
    <row r="235" ht="15.75" customHeight="1">
      <c r="A235" s="34"/>
      <c r="B235" s="77"/>
    </row>
    <row r="236" ht="15.75" customHeight="1">
      <c r="A236" s="34"/>
      <c r="B236" s="77"/>
    </row>
    <row r="237" ht="15.75" customHeight="1">
      <c r="A237" s="34"/>
      <c r="B237" s="77"/>
    </row>
    <row r="238" ht="15.75" customHeight="1">
      <c r="A238" s="34"/>
      <c r="B238" s="77"/>
    </row>
    <row r="239" ht="15.75" customHeight="1">
      <c r="A239" s="34"/>
      <c r="B239" s="77"/>
    </row>
    <row r="240" ht="15.75" customHeight="1">
      <c r="A240" s="34"/>
      <c r="B240" s="77"/>
    </row>
    <row r="241" ht="15.75" customHeight="1">
      <c r="A241" s="34"/>
      <c r="B241" s="77"/>
    </row>
    <row r="242" ht="15.75" customHeight="1">
      <c r="A242" s="34"/>
      <c r="B242" s="77"/>
    </row>
    <row r="243" ht="15.75" customHeight="1">
      <c r="A243" s="34"/>
      <c r="B243" s="77"/>
    </row>
    <row r="244" ht="15.75" customHeight="1">
      <c r="A244" s="34"/>
      <c r="B244" s="77"/>
    </row>
    <row r="245" ht="15.75" customHeight="1">
      <c r="A245" s="34"/>
      <c r="B245" s="77"/>
    </row>
    <row r="246" ht="15.75" customHeight="1">
      <c r="A246" s="34"/>
      <c r="B246" s="77"/>
    </row>
    <row r="247" ht="15.75" customHeight="1">
      <c r="A247" s="34"/>
      <c r="B247" s="77"/>
    </row>
    <row r="248" ht="15.75" customHeight="1">
      <c r="A248" s="34"/>
      <c r="B248" s="77"/>
    </row>
    <row r="249" ht="15.75" customHeight="1">
      <c r="A249" s="34"/>
      <c r="B249" s="77"/>
    </row>
    <row r="250" ht="15.75" customHeight="1">
      <c r="A250" s="34"/>
      <c r="B250" s="77"/>
    </row>
    <row r="251" ht="15.75" customHeight="1">
      <c r="A251" s="34"/>
      <c r="B251" s="77"/>
    </row>
    <row r="252" ht="15.75" customHeight="1">
      <c r="A252" s="34"/>
      <c r="B252" s="77"/>
    </row>
    <row r="253" ht="15.75" customHeight="1">
      <c r="A253" s="34"/>
      <c r="B253" s="77"/>
    </row>
    <row r="254" ht="15.75" customHeight="1">
      <c r="A254" s="34"/>
      <c r="B254" s="77"/>
    </row>
    <row r="255" ht="15.75" customHeight="1">
      <c r="A255" s="34"/>
      <c r="B255" s="77"/>
    </row>
    <row r="256" ht="15.75" customHeight="1">
      <c r="A256" s="34"/>
      <c r="B256" s="77"/>
    </row>
    <row r="257" ht="15.75" customHeight="1">
      <c r="A257" s="34"/>
      <c r="B257" s="77"/>
    </row>
    <row r="258" ht="15.75" customHeight="1">
      <c r="A258" s="34"/>
      <c r="B258" s="77"/>
    </row>
    <row r="259" ht="15.75" customHeight="1">
      <c r="A259" s="34"/>
      <c r="B259" s="77"/>
    </row>
    <row r="260" ht="15.75" customHeight="1">
      <c r="A260" s="34"/>
      <c r="B260" s="77"/>
    </row>
    <row r="261" ht="15.75" customHeight="1">
      <c r="A261" s="34"/>
      <c r="B261" s="77"/>
    </row>
    <row r="262" ht="15.75" customHeight="1">
      <c r="A262" s="34"/>
      <c r="B262" s="77"/>
    </row>
    <row r="263" ht="15.75" customHeight="1">
      <c r="A263" s="34"/>
      <c r="B263" s="77"/>
    </row>
    <row r="264" ht="15.75" customHeight="1">
      <c r="A264" s="34"/>
      <c r="B264" s="77"/>
    </row>
    <row r="265" ht="15.75" customHeight="1">
      <c r="A265" s="34"/>
      <c r="B265" s="77"/>
    </row>
    <row r="266" ht="15.75" customHeight="1">
      <c r="A266" s="34"/>
      <c r="B266" s="77"/>
    </row>
    <row r="267" ht="15.75" customHeight="1">
      <c r="A267" s="34"/>
      <c r="B267" s="77"/>
    </row>
    <row r="268" ht="15.75" customHeight="1">
      <c r="A268" s="34"/>
      <c r="B268" s="77"/>
    </row>
    <row r="269" ht="15.75" customHeight="1">
      <c r="A269" s="34"/>
      <c r="B269" s="77"/>
    </row>
    <row r="270" ht="15.75" customHeight="1">
      <c r="A270" s="34"/>
      <c r="B270" s="77"/>
    </row>
    <row r="271" ht="15.75" customHeight="1">
      <c r="A271" s="34"/>
      <c r="B271" s="77"/>
    </row>
    <row r="272" ht="15.75" customHeight="1">
      <c r="A272" s="34"/>
      <c r="B272" s="77"/>
    </row>
    <row r="273" ht="15.75" customHeight="1">
      <c r="A273" s="34"/>
      <c r="B273" s="77"/>
    </row>
    <row r="274" ht="15.75" customHeight="1">
      <c r="A274" s="34"/>
      <c r="B274" s="77"/>
    </row>
    <row r="275" ht="15.75" customHeight="1">
      <c r="A275" s="34"/>
      <c r="B275" s="77"/>
    </row>
    <row r="276" ht="15.75" customHeight="1">
      <c r="A276" s="34"/>
      <c r="B276" s="77"/>
    </row>
    <row r="277" ht="15.75" customHeight="1">
      <c r="A277" s="34"/>
      <c r="B277" s="77"/>
    </row>
    <row r="278" ht="15.75" customHeight="1">
      <c r="A278" s="34"/>
      <c r="B278" s="77"/>
    </row>
    <row r="279" ht="15.75" customHeight="1">
      <c r="A279" s="34"/>
      <c r="B279" s="77"/>
    </row>
    <row r="280" ht="15.75" customHeight="1">
      <c r="A280" s="34"/>
      <c r="B280" s="77"/>
    </row>
    <row r="281" ht="15.75" customHeight="1">
      <c r="A281" s="34"/>
      <c r="B281" s="77"/>
    </row>
    <row r="282" ht="15.75" customHeight="1">
      <c r="A282" s="34"/>
      <c r="B282" s="77"/>
    </row>
    <row r="283" ht="15.75" customHeight="1">
      <c r="A283" s="34"/>
      <c r="B283" s="77"/>
    </row>
    <row r="284" ht="15.75" customHeight="1">
      <c r="A284" s="34"/>
      <c r="B284" s="77"/>
    </row>
    <row r="285" ht="15.75" customHeight="1">
      <c r="A285" s="34"/>
      <c r="B285" s="77"/>
    </row>
    <row r="286" ht="15.75" customHeight="1">
      <c r="A286" s="34"/>
      <c r="B286" s="77"/>
    </row>
    <row r="287" ht="15.75" customHeight="1">
      <c r="A287" s="34"/>
      <c r="B287" s="77"/>
    </row>
    <row r="288" ht="15.75" customHeight="1">
      <c r="A288" s="34"/>
      <c r="B288" s="77"/>
    </row>
    <row r="289" ht="15.75" customHeight="1">
      <c r="A289" s="34"/>
      <c r="B289" s="77"/>
    </row>
    <row r="290" ht="15.75" customHeight="1">
      <c r="A290" s="34"/>
      <c r="B290" s="77"/>
    </row>
    <row r="291" ht="15.75" customHeight="1">
      <c r="A291" s="34"/>
      <c r="B291" s="77"/>
    </row>
    <row r="292" ht="15.75" customHeight="1">
      <c r="A292" s="34"/>
      <c r="B292" s="77"/>
    </row>
    <row r="293" ht="15.75" customHeight="1">
      <c r="A293" s="34"/>
      <c r="B293" s="77"/>
    </row>
    <row r="294" ht="15.75" customHeight="1">
      <c r="A294" s="34"/>
      <c r="B294" s="77"/>
    </row>
    <row r="295" ht="15.75" customHeight="1">
      <c r="A295" s="34"/>
      <c r="B295" s="77"/>
    </row>
    <row r="296" ht="15.75" customHeight="1">
      <c r="A296" s="34"/>
      <c r="B296" s="77"/>
    </row>
    <row r="297" ht="15.75" customHeight="1">
      <c r="A297" s="34"/>
      <c r="B297" s="77"/>
    </row>
    <row r="298" ht="15.75" customHeight="1">
      <c r="A298" s="34"/>
      <c r="B298" s="77"/>
    </row>
    <row r="299" ht="15.75" customHeight="1">
      <c r="A299" s="34"/>
      <c r="B299" s="77"/>
    </row>
    <row r="300" ht="15.75" customHeight="1">
      <c r="A300" s="34"/>
      <c r="B300" s="77"/>
    </row>
    <row r="301" ht="15.75" customHeight="1">
      <c r="A301" s="34"/>
      <c r="B301" s="77"/>
    </row>
    <row r="302" ht="15.75" customHeight="1">
      <c r="A302" s="34"/>
      <c r="B302" s="77"/>
    </row>
    <row r="303" ht="15.75" customHeight="1">
      <c r="A303" s="34"/>
      <c r="B303" s="77"/>
    </row>
    <row r="304" ht="15.75" customHeight="1">
      <c r="A304" s="34"/>
      <c r="B304" s="77"/>
    </row>
    <row r="305" ht="15.75" customHeight="1">
      <c r="A305" s="34"/>
      <c r="B305" s="77"/>
    </row>
    <row r="306" ht="15.75" customHeight="1">
      <c r="A306" s="34"/>
      <c r="B306" s="77"/>
    </row>
    <row r="307" ht="15.75" customHeight="1">
      <c r="A307" s="34"/>
      <c r="B307" s="77"/>
    </row>
    <row r="308" ht="15.75" customHeight="1">
      <c r="A308" s="34"/>
      <c r="B308" s="77"/>
    </row>
    <row r="309" ht="15.75" customHeight="1">
      <c r="A309" s="34"/>
      <c r="B309" s="77"/>
    </row>
    <row r="310" ht="15.75" customHeight="1">
      <c r="A310" s="34"/>
      <c r="B310" s="77"/>
    </row>
    <row r="311" ht="15.75" customHeight="1">
      <c r="A311" s="34"/>
      <c r="B311" s="77"/>
    </row>
    <row r="312" ht="15.75" customHeight="1">
      <c r="A312" s="34"/>
      <c r="B312" s="77"/>
    </row>
    <row r="313" ht="15.75" customHeight="1">
      <c r="A313" s="34"/>
      <c r="B313" s="77"/>
    </row>
    <row r="314" ht="15.75" customHeight="1">
      <c r="A314" s="34"/>
      <c r="B314" s="77"/>
    </row>
    <row r="315" ht="15.75" customHeight="1">
      <c r="A315" s="34"/>
      <c r="B315" s="77"/>
    </row>
    <row r="316" ht="15.75" customHeight="1">
      <c r="A316" s="34"/>
      <c r="B316" s="77"/>
    </row>
    <row r="317" ht="15.75" customHeight="1">
      <c r="A317" s="34"/>
      <c r="B317" s="77"/>
    </row>
    <row r="318" ht="15.75" customHeight="1">
      <c r="A318" s="34"/>
      <c r="B318" s="77"/>
    </row>
    <row r="319" ht="15.75" customHeight="1">
      <c r="A319" s="34"/>
      <c r="B319" s="77"/>
    </row>
    <row r="320" ht="15.75" customHeight="1">
      <c r="A320" s="34"/>
      <c r="B320" s="77"/>
    </row>
    <row r="321" ht="15.75" customHeight="1">
      <c r="A321" s="34"/>
      <c r="B321" s="77"/>
    </row>
    <row r="322" ht="15.75" customHeight="1">
      <c r="A322" s="34"/>
      <c r="B322" s="77"/>
    </row>
    <row r="323" ht="15.75" customHeight="1">
      <c r="A323" s="34"/>
      <c r="B323" s="77"/>
    </row>
    <row r="324" ht="15.75" customHeight="1">
      <c r="A324" s="34"/>
      <c r="B324" s="77"/>
    </row>
    <row r="325" ht="15.75" customHeight="1">
      <c r="A325" s="34"/>
      <c r="B325" s="77"/>
    </row>
    <row r="326" ht="15.75" customHeight="1">
      <c r="A326" s="34"/>
      <c r="B326" s="77"/>
    </row>
    <row r="327" ht="15.75" customHeight="1">
      <c r="A327" s="34"/>
      <c r="B327" s="77"/>
    </row>
    <row r="328" ht="15.75" customHeight="1">
      <c r="A328" s="34"/>
      <c r="B328" s="77"/>
    </row>
    <row r="329" ht="15.75" customHeight="1">
      <c r="A329" s="34"/>
      <c r="B329" s="77"/>
    </row>
    <row r="330" ht="15.75" customHeight="1">
      <c r="A330" s="34"/>
      <c r="B330" s="77"/>
    </row>
    <row r="331" ht="15.75" customHeight="1">
      <c r="A331" s="34"/>
      <c r="B331" s="77"/>
    </row>
    <row r="332" ht="15.75" customHeight="1">
      <c r="A332" s="34"/>
      <c r="B332" s="77"/>
    </row>
    <row r="333" ht="15.75" customHeight="1">
      <c r="A333" s="34"/>
      <c r="B333" s="77"/>
    </row>
    <row r="334" ht="15.75" customHeight="1">
      <c r="A334" s="34"/>
      <c r="B334" s="77"/>
    </row>
    <row r="335" ht="15.75" customHeight="1">
      <c r="A335" s="34"/>
      <c r="B335" s="77"/>
    </row>
    <row r="336" ht="15.75" customHeight="1">
      <c r="A336" s="34"/>
      <c r="B336" s="77"/>
    </row>
    <row r="337" ht="15.75" customHeight="1">
      <c r="A337" s="34"/>
      <c r="B337" s="77"/>
    </row>
    <row r="338" ht="15.75" customHeight="1">
      <c r="A338" s="34"/>
      <c r="B338" s="77"/>
    </row>
    <row r="339" ht="15.75" customHeight="1">
      <c r="A339" s="34"/>
      <c r="B339" s="77"/>
    </row>
    <row r="340" ht="15.75" customHeight="1">
      <c r="A340" s="34"/>
      <c r="B340" s="77"/>
    </row>
    <row r="341" ht="15.75" customHeight="1">
      <c r="A341" s="34"/>
      <c r="B341" s="77"/>
    </row>
    <row r="342" ht="15.75" customHeight="1">
      <c r="A342" s="34"/>
      <c r="B342" s="77"/>
    </row>
    <row r="343" ht="15.75" customHeight="1">
      <c r="A343" s="34"/>
      <c r="B343" s="77"/>
    </row>
    <row r="344" ht="15.75" customHeight="1">
      <c r="A344" s="34"/>
      <c r="B344" s="77"/>
    </row>
    <row r="345" ht="15.75" customHeight="1">
      <c r="A345" s="34"/>
      <c r="B345" s="77"/>
    </row>
    <row r="346" ht="15.75" customHeight="1">
      <c r="A346" s="34"/>
      <c r="B346" s="77"/>
    </row>
    <row r="347" ht="15.75" customHeight="1">
      <c r="A347" s="34"/>
      <c r="B347" s="77"/>
    </row>
    <row r="348" ht="15.75" customHeight="1">
      <c r="A348" s="34"/>
      <c r="B348" s="77"/>
    </row>
    <row r="349" ht="15.75" customHeight="1">
      <c r="A349" s="34"/>
      <c r="B349" s="77"/>
    </row>
    <row r="350" ht="15.75" customHeight="1">
      <c r="A350" s="34"/>
      <c r="B350" s="77"/>
    </row>
    <row r="351" ht="15.75" customHeight="1">
      <c r="A351" s="34"/>
      <c r="B351" s="77"/>
    </row>
    <row r="352" ht="15.75" customHeight="1">
      <c r="A352" s="34"/>
      <c r="B352" s="77"/>
    </row>
    <row r="353" ht="15.75" customHeight="1">
      <c r="A353" s="34"/>
      <c r="B353" s="77"/>
    </row>
    <row r="354" ht="15.75" customHeight="1">
      <c r="A354" s="34"/>
      <c r="B354" s="77"/>
    </row>
    <row r="355" ht="15.75" customHeight="1">
      <c r="A355" s="34"/>
      <c r="B355" s="77"/>
    </row>
    <row r="356" ht="15.75" customHeight="1">
      <c r="A356" s="34"/>
      <c r="B356" s="77"/>
    </row>
    <row r="357" ht="15.75" customHeight="1">
      <c r="A357" s="34"/>
      <c r="B357" s="77"/>
    </row>
    <row r="358" ht="15.75" customHeight="1">
      <c r="A358" s="34"/>
      <c r="B358" s="77"/>
    </row>
    <row r="359" ht="15.75" customHeight="1">
      <c r="A359" s="34"/>
      <c r="B359" s="77"/>
    </row>
    <row r="360" ht="15.75" customHeight="1">
      <c r="A360" s="34"/>
      <c r="B360" s="77"/>
    </row>
    <row r="361" ht="15.75" customHeight="1">
      <c r="A361" s="34"/>
      <c r="B361" s="77"/>
    </row>
    <row r="362" ht="15.75" customHeight="1">
      <c r="A362" s="34"/>
      <c r="B362" s="77"/>
    </row>
    <row r="363" ht="15.75" customHeight="1">
      <c r="A363" s="34"/>
      <c r="B363" s="77"/>
    </row>
    <row r="364" ht="15.75" customHeight="1">
      <c r="A364" s="34"/>
      <c r="B364" s="77"/>
    </row>
    <row r="365" ht="15.75" customHeight="1">
      <c r="A365" s="34"/>
      <c r="B365" s="77"/>
    </row>
    <row r="366" ht="15.75" customHeight="1">
      <c r="A366" s="34"/>
      <c r="B366" s="77"/>
    </row>
    <row r="367" ht="15.75" customHeight="1">
      <c r="A367" s="34"/>
      <c r="B367" s="77"/>
    </row>
    <row r="368" ht="15.75" customHeight="1">
      <c r="A368" s="34"/>
      <c r="B368" s="77"/>
    </row>
    <row r="369" ht="15.75" customHeight="1">
      <c r="A369" s="34"/>
      <c r="B369" s="77"/>
    </row>
    <row r="370" ht="15.75" customHeight="1">
      <c r="A370" s="34"/>
      <c r="B370" s="77"/>
    </row>
    <row r="371" ht="15.75" customHeight="1">
      <c r="A371" s="34"/>
      <c r="B371" s="77"/>
    </row>
    <row r="372" ht="15.75" customHeight="1">
      <c r="A372" s="34"/>
      <c r="B372" s="77"/>
    </row>
    <row r="373" ht="15.75" customHeight="1">
      <c r="A373" s="34"/>
      <c r="B373" s="77"/>
    </row>
    <row r="374" ht="15.75" customHeight="1">
      <c r="A374" s="34"/>
      <c r="B374" s="77"/>
    </row>
    <row r="375" ht="15.75" customHeight="1">
      <c r="A375" s="34"/>
      <c r="B375" s="77"/>
    </row>
    <row r="376" ht="15.75" customHeight="1">
      <c r="A376" s="34"/>
      <c r="B376" s="77"/>
    </row>
    <row r="377" ht="15.75" customHeight="1">
      <c r="A377" s="34"/>
      <c r="B377" s="77"/>
    </row>
    <row r="378" ht="15.75" customHeight="1">
      <c r="A378" s="34"/>
      <c r="B378" s="77"/>
    </row>
    <row r="379" ht="15.75" customHeight="1">
      <c r="A379" s="34"/>
      <c r="B379" s="77"/>
    </row>
    <row r="380" ht="15.75" customHeight="1">
      <c r="A380" s="34"/>
      <c r="B380" s="77"/>
    </row>
    <row r="381" ht="15.75" customHeight="1">
      <c r="A381" s="34"/>
      <c r="B381" s="77"/>
    </row>
    <row r="382" ht="15.75" customHeight="1">
      <c r="A382" s="34"/>
      <c r="B382" s="77"/>
    </row>
    <row r="383" ht="15.75" customHeight="1">
      <c r="A383" s="34"/>
      <c r="B383" s="77"/>
    </row>
    <row r="384" ht="15.75" customHeight="1">
      <c r="A384" s="34"/>
      <c r="B384" s="77"/>
    </row>
    <row r="385" ht="15.75" customHeight="1">
      <c r="A385" s="34"/>
      <c r="B385" s="77"/>
    </row>
    <row r="386" ht="15.75" customHeight="1">
      <c r="A386" s="34"/>
      <c r="B386" s="77"/>
    </row>
    <row r="387" ht="15.75" customHeight="1">
      <c r="A387" s="34"/>
      <c r="B387" s="77"/>
    </row>
    <row r="388" ht="15.75" customHeight="1">
      <c r="A388" s="34"/>
      <c r="B388" s="77"/>
    </row>
    <row r="389" ht="15.75" customHeight="1">
      <c r="A389" s="34"/>
      <c r="B389" s="77"/>
    </row>
    <row r="390" ht="15.75" customHeight="1">
      <c r="A390" s="34"/>
      <c r="B390" s="77"/>
    </row>
    <row r="391" ht="15.75" customHeight="1">
      <c r="A391" s="34"/>
      <c r="B391" s="77"/>
    </row>
    <row r="392" ht="15.75" customHeight="1">
      <c r="A392" s="34"/>
      <c r="B392" s="77"/>
    </row>
    <row r="393" ht="15.75" customHeight="1">
      <c r="A393" s="34"/>
      <c r="B393" s="77"/>
    </row>
    <row r="394" ht="15.75" customHeight="1">
      <c r="A394" s="34"/>
      <c r="B394" s="77"/>
    </row>
    <row r="395" ht="15.75" customHeight="1">
      <c r="A395" s="34"/>
      <c r="B395" s="77"/>
    </row>
    <row r="396" ht="15.75" customHeight="1">
      <c r="A396" s="34"/>
      <c r="B396" s="77"/>
    </row>
    <row r="397" ht="15.75" customHeight="1">
      <c r="A397" s="34"/>
      <c r="B397" s="77"/>
    </row>
    <row r="398" ht="15.75" customHeight="1">
      <c r="A398" s="34"/>
      <c r="B398" s="77"/>
    </row>
    <row r="399" ht="15.75" customHeight="1">
      <c r="A399" s="34"/>
      <c r="B399" s="77"/>
    </row>
    <row r="400" ht="15.75" customHeight="1">
      <c r="A400" s="34"/>
      <c r="B400" s="77"/>
    </row>
    <row r="401" ht="15.75" customHeight="1">
      <c r="A401" s="34"/>
      <c r="B401" s="77"/>
    </row>
    <row r="402" ht="15.75" customHeight="1">
      <c r="A402" s="34"/>
      <c r="B402" s="77"/>
    </row>
    <row r="403" ht="15.75" customHeight="1">
      <c r="A403" s="34"/>
      <c r="B403" s="77"/>
    </row>
    <row r="404" ht="15.75" customHeight="1">
      <c r="A404" s="34"/>
      <c r="B404" s="77"/>
    </row>
    <row r="405" ht="15.75" customHeight="1">
      <c r="A405" s="34"/>
      <c r="B405" s="77"/>
    </row>
    <row r="406" ht="15.75" customHeight="1">
      <c r="A406" s="34"/>
      <c r="B406" s="77"/>
    </row>
    <row r="407" ht="15.75" customHeight="1">
      <c r="A407" s="34"/>
      <c r="B407" s="77"/>
    </row>
    <row r="408" ht="15.75" customHeight="1">
      <c r="A408" s="34"/>
      <c r="B408" s="77"/>
    </row>
    <row r="409" ht="15.75" customHeight="1">
      <c r="A409" s="34"/>
      <c r="B409" s="77"/>
    </row>
    <row r="410" ht="15.75" customHeight="1">
      <c r="A410" s="34"/>
      <c r="B410" s="77"/>
    </row>
    <row r="411" ht="15.75" customHeight="1">
      <c r="A411" s="34"/>
      <c r="B411" s="77"/>
    </row>
    <row r="412" ht="15.75" customHeight="1">
      <c r="A412" s="34"/>
      <c r="B412" s="77"/>
    </row>
    <row r="413" ht="15.75" customHeight="1">
      <c r="A413" s="34"/>
      <c r="B413" s="77"/>
    </row>
    <row r="414" ht="15.75" customHeight="1">
      <c r="A414" s="34"/>
      <c r="B414" s="77"/>
    </row>
    <row r="415" ht="15.75" customHeight="1">
      <c r="A415" s="34"/>
      <c r="B415" s="77"/>
    </row>
    <row r="416" ht="15.75" customHeight="1">
      <c r="A416" s="34"/>
      <c r="B416" s="77"/>
    </row>
    <row r="417" ht="15.75" customHeight="1">
      <c r="A417" s="34"/>
      <c r="B417" s="77"/>
    </row>
    <row r="418" ht="15.75" customHeight="1">
      <c r="A418" s="34"/>
      <c r="B418" s="77"/>
    </row>
    <row r="419" ht="15.75" customHeight="1">
      <c r="A419" s="34"/>
      <c r="B419" s="77"/>
    </row>
    <row r="420" ht="15.75" customHeight="1">
      <c r="A420" s="34"/>
      <c r="B420" s="77"/>
    </row>
    <row r="421" ht="15.75" customHeight="1">
      <c r="A421" s="34"/>
      <c r="B421" s="77"/>
    </row>
    <row r="422" ht="15.75" customHeight="1">
      <c r="A422" s="34"/>
      <c r="B422" s="77"/>
    </row>
    <row r="423" ht="15.75" customHeight="1">
      <c r="A423" s="34"/>
      <c r="B423" s="77"/>
    </row>
    <row r="424" ht="15.75" customHeight="1">
      <c r="A424" s="34"/>
      <c r="B424" s="77"/>
    </row>
    <row r="425" ht="15.75" customHeight="1">
      <c r="A425" s="34"/>
      <c r="B425" s="77"/>
    </row>
    <row r="426" ht="15.75" customHeight="1">
      <c r="A426" s="34"/>
      <c r="B426" s="77"/>
    </row>
    <row r="427" ht="15.75" customHeight="1">
      <c r="A427" s="34"/>
      <c r="B427" s="77"/>
    </row>
    <row r="428" ht="15.75" customHeight="1">
      <c r="A428" s="34"/>
      <c r="B428" s="77"/>
    </row>
    <row r="429" ht="15.75" customHeight="1">
      <c r="A429" s="34"/>
      <c r="B429" s="77"/>
    </row>
    <row r="430" ht="15.75" customHeight="1">
      <c r="A430" s="34"/>
      <c r="B430" s="77"/>
    </row>
    <row r="431" ht="15.75" customHeight="1">
      <c r="A431" s="34"/>
      <c r="B431" s="77"/>
    </row>
    <row r="432" ht="15.75" customHeight="1">
      <c r="A432" s="34"/>
      <c r="B432" s="77"/>
    </row>
    <row r="433" ht="15.75" customHeight="1">
      <c r="A433" s="34"/>
      <c r="B433" s="77"/>
    </row>
    <row r="434" ht="15.75" customHeight="1">
      <c r="A434" s="34"/>
      <c r="B434" s="77"/>
    </row>
    <row r="435" ht="15.75" customHeight="1">
      <c r="A435" s="34"/>
      <c r="B435" s="77"/>
    </row>
    <row r="436" ht="15.75" customHeight="1">
      <c r="A436" s="34"/>
      <c r="B436" s="77"/>
    </row>
    <row r="437" ht="15.75" customHeight="1">
      <c r="A437" s="34"/>
      <c r="B437" s="77"/>
    </row>
    <row r="438" ht="15.75" customHeight="1">
      <c r="A438" s="34"/>
      <c r="B438" s="77"/>
    </row>
    <row r="439" ht="15.75" customHeight="1">
      <c r="A439" s="34"/>
      <c r="B439" s="77"/>
    </row>
    <row r="440" ht="15.75" customHeight="1">
      <c r="A440" s="34"/>
      <c r="B440" s="77"/>
    </row>
    <row r="441" ht="15.75" customHeight="1">
      <c r="A441" s="34"/>
      <c r="B441" s="77"/>
    </row>
    <row r="442" ht="15.75" customHeight="1">
      <c r="A442" s="34"/>
      <c r="B442" s="77"/>
    </row>
    <row r="443" ht="15.75" customHeight="1">
      <c r="A443" s="34"/>
      <c r="B443" s="77"/>
    </row>
    <row r="444" ht="15.75" customHeight="1">
      <c r="A444" s="34"/>
      <c r="B444" s="77"/>
    </row>
    <row r="445" ht="15.75" customHeight="1">
      <c r="A445" s="34"/>
      <c r="B445" s="77"/>
    </row>
    <row r="446" ht="15.75" customHeight="1">
      <c r="A446" s="34"/>
      <c r="B446" s="77"/>
    </row>
    <row r="447" ht="15.75" customHeight="1">
      <c r="A447" s="34"/>
      <c r="B447" s="77"/>
    </row>
    <row r="448" ht="15.75" customHeight="1">
      <c r="A448" s="34"/>
      <c r="B448" s="77"/>
    </row>
    <row r="449" ht="15.75" customHeight="1">
      <c r="A449" s="34"/>
      <c r="B449" s="77"/>
    </row>
    <row r="450" ht="15.75" customHeight="1">
      <c r="A450" s="34"/>
      <c r="B450" s="77"/>
    </row>
    <row r="451" ht="15.75" customHeight="1">
      <c r="A451" s="34"/>
      <c r="B451" s="77"/>
    </row>
    <row r="452" ht="15.75" customHeight="1">
      <c r="A452" s="34"/>
      <c r="B452" s="77"/>
    </row>
    <row r="453" ht="15.75" customHeight="1">
      <c r="A453" s="34"/>
      <c r="B453" s="77"/>
    </row>
    <row r="454" ht="15.75" customHeight="1">
      <c r="A454" s="34"/>
      <c r="B454" s="77"/>
    </row>
    <row r="455" ht="15.75" customHeight="1">
      <c r="A455" s="34"/>
      <c r="B455" s="77"/>
    </row>
    <row r="456" ht="15.75" customHeight="1">
      <c r="A456" s="34"/>
      <c r="B456" s="77"/>
    </row>
    <row r="457" ht="15.75" customHeight="1">
      <c r="A457" s="34"/>
      <c r="B457" s="77"/>
    </row>
    <row r="458" ht="15.75" customHeight="1">
      <c r="A458" s="34"/>
      <c r="B458" s="77"/>
    </row>
    <row r="459" ht="15.75" customHeight="1">
      <c r="A459" s="34"/>
      <c r="B459" s="77"/>
    </row>
    <row r="460" ht="15.75" customHeight="1">
      <c r="A460" s="34"/>
      <c r="B460" s="77"/>
    </row>
    <row r="461" ht="15.75" customHeight="1">
      <c r="A461" s="34"/>
      <c r="B461" s="77"/>
    </row>
    <row r="462" ht="15.75" customHeight="1">
      <c r="A462" s="34"/>
      <c r="B462" s="77"/>
    </row>
    <row r="463" ht="15.75" customHeight="1">
      <c r="A463" s="34"/>
      <c r="B463" s="77"/>
    </row>
    <row r="464" ht="15.75" customHeight="1">
      <c r="A464" s="34"/>
      <c r="B464" s="77"/>
    </row>
    <row r="465" ht="15.75" customHeight="1">
      <c r="A465" s="34"/>
      <c r="B465" s="77"/>
    </row>
    <row r="466" ht="15.75" customHeight="1">
      <c r="A466" s="34"/>
      <c r="B466" s="77"/>
    </row>
    <row r="467" ht="15.75" customHeight="1">
      <c r="A467" s="34"/>
      <c r="B467" s="77"/>
    </row>
    <row r="468" ht="15.75" customHeight="1">
      <c r="A468" s="34"/>
      <c r="B468" s="77"/>
    </row>
    <row r="469" ht="15.75" customHeight="1">
      <c r="A469" s="34"/>
      <c r="B469" s="77"/>
    </row>
    <row r="470" ht="15.75" customHeight="1">
      <c r="A470" s="34"/>
      <c r="B470" s="77"/>
    </row>
    <row r="471" ht="15.75" customHeight="1">
      <c r="A471" s="34"/>
      <c r="B471" s="77"/>
    </row>
    <row r="472" ht="15.75" customHeight="1">
      <c r="A472" s="34"/>
      <c r="B472" s="77"/>
    </row>
    <row r="473" ht="15.75" customHeight="1">
      <c r="A473" s="34"/>
      <c r="B473" s="77"/>
    </row>
    <row r="474" ht="15.75" customHeight="1">
      <c r="A474" s="34"/>
      <c r="B474" s="77"/>
    </row>
    <row r="475" ht="15.75" customHeight="1">
      <c r="A475" s="34"/>
      <c r="B475" s="77"/>
    </row>
    <row r="476" ht="15.75" customHeight="1">
      <c r="A476" s="34"/>
      <c r="B476" s="77"/>
    </row>
    <row r="477" ht="15.75" customHeight="1">
      <c r="A477" s="34"/>
      <c r="B477" s="77"/>
    </row>
    <row r="478" ht="15.75" customHeight="1">
      <c r="A478" s="34"/>
      <c r="B478" s="77"/>
    </row>
    <row r="479" ht="15.75" customHeight="1">
      <c r="A479" s="34"/>
      <c r="B479" s="77"/>
    </row>
    <row r="480" ht="15.75" customHeight="1">
      <c r="A480" s="34"/>
      <c r="B480" s="77"/>
    </row>
    <row r="481" ht="15.75" customHeight="1">
      <c r="A481" s="34"/>
      <c r="B481" s="77"/>
    </row>
    <row r="482" ht="15.75" customHeight="1">
      <c r="A482" s="34"/>
      <c r="B482" s="77"/>
    </row>
    <row r="483" ht="15.75" customHeight="1">
      <c r="A483" s="34"/>
      <c r="B483" s="77"/>
    </row>
    <row r="484" ht="15.75" customHeight="1">
      <c r="A484" s="34"/>
      <c r="B484" s="77"/>
    </row>
    <row r="485" ht="15.75" customHeight="1">
      <c r="A485" s="34"/>
      <c r="B485" s="77"/>
    </row>
    <row r="486" ht="15.75" customHeight="1">
      <c r="A486" s="34"/>
      <c r="B486" s="77"/>
    </row>
    <row r="487" ht="15.75" customHeight="1">
      <c r="A487" s="34"/>
      <c r="B487" s="77"/>
    </row>
    <row r="488" ht="15.75" customHeight="1">
      <c r="A488" s="34"/>
      <c r="B488" s="77"/>
    </row>
    <row r="489" ht="15.75" customHeight="1">
      <c r="A489" s="34"/>
      <c r="B489" s="77"/>
    </row>
    <row r="490" ht="15.75" customHeight="1">
      <c r="A490" s="34"/>
      <c r="B490" s="77"/>
    </row>
    <row r="491" ht="15.75" customHeight="1">
      <c r="A491" s="34"/>
      <c r="B491" s="77"/>
    </row>
    <row r="492" ht="15.75" customHeight="1">
      <c r="A492" s="34"/>
      <c r="B492" s="77"/>
    </row>
    <row r="493" ht="15.75" customHeight="1">
      <c r="A493" s="34"/>
      <c r="B493" s="77"/>
    </row>
    <row r="494" ht="15.75" customHeight="1">
      <c r="A494" s="34"/>
      <c r="B494" s="77"/>
    </row>
    <row r="495" ht="15.75" customHeight="1">
      <c r="A495" s="34"/>
      <c r="B495" s="77"/>
    </row>
    <row r="496" ht="15.75" customHeight="1">
      <c r="A496" s="34"/>
      <c r="B496" s="77"/>
    </row>
    <row r="497" ht="15.75" customHeight="1">
      <c r="A497" s="34"/>
      <c r="B497" s="77"/>
    </row>
    <row r="498" ht="15.75" customHeight="1">
      <c r="A498" s="34"/>
      <c r="B498" s="77"/>
    </row>
    <row r="499" ht="15.75" customHeight="1">
      <c r="A499" s="34"/>
      <c r="B499" s="77"/>
    </row>
    <row r="500" ht="15.75" customHeight="1">
      <c r="A500" s="34"/>
      <c r="B500" s="77"/>
    </row>
    <row r="501" ht="15.75" customHeight="1">
      <c r="A501" s="34"/>
      <c r="B501" s="77"/>
    </row>
    <row r="502" ht="15.75" customHeight="1">
      <c r="A502" s="34"/>
      <c r="B502" s="77"/>
    </row>
    <row r="503" ht="15.75" customHeight="1">
      <c r="A503" s="34"/>
      <c r="B503" s="77"/>
    </row>
    <row r="504" ht="15.75" customHeight="1">
      <c r="A504" s="34"/>
      <c r="B504" s="77"/>
    </row>
    <row r="505" ht="15.75" customHeight="1">
      <c r="A505" s="34"/>
      <c r="B505" s="77"/>
    </row>
    <row r="506" ht="15.75" customHeight="1">
      <c r="A506" s="34"/>
      <c r="B506" s="77"/>
    </row>
    <row r="507" ht="15.75" customHeight="1">
      <c r="A507" s="34"/>
      <c r="B507" s="77"/>
    </row>
    <row r="508" ht="15.75" customHeight="1">
      <c r="A508" s="34"/>
      <c r="B508" s="77"/>
    </row>
    <row r="509" ht="15.75" customHeight="1">
      <c r="A509" s="34"/>
      <c r="B509" s="77"/>
    </row>
    <row r="510" ht="15.75" customHeight="1">
      <c r="A510" s="34"/>
      <c r="B510" s="77"/>
    </row>
    <row r="511" ht="15.75" customHeight="1">
      <c r="A511" s="34"/>
      <c r="B511" s="77"/>
    </row>
    <row r="512" ht="15.75" customHeight="1">
      <c r="A512" s="34"/>
      <c r="B512" s="77"/>
    </row>
    <row r="513" ht="15.75" customHeight="1">
      <c r="A513" s="34"/>
      <c r="B513" s="77"/>
    </row>
    <row r="514" ht="15.75" customHeight="1">
      <c r="A514" s="34"/>
      <c r="B514" s="77"/>
    </row>
    <row r="515" ht="15.75" customHeight="1">
      <c r="A515" s="34"/>
      <c r="B515" s="77"/>
    </row>
    <row r="516" ht="15.75" customHeight="1">
      <c r="A516" s="34"/>
      <c r="B516" s="77"/>
    </row>
    <row r="517" ht="15.75" customHeight="1">
      <c r="A517" s="34"/>
      <c r="B517" s="77"/>
    </row>
    <row r="518" ht="15.75" customHeight="1">
      <c r="A518" s="34"/>
      <c r="B518" s="77"/>
    </row>
    <row r="519" ht="15.75" customHeight="1">
      <c r="A519" s="34"/>
      <c r="B519" s="77"/>
    </row>
    <row r="520" ht="15.75" customHeight="1">
      <c r="A520" s="34"/>
      <c r="B520" s="77"/>
    </row>
    <row r="521" ht="15.75" customHeight="1">
      <c r="A521" s="34"/>
      <c r="B521" s="77"/>
    </row>
    <row r="522" ht="15.75" customHeight="1">
      <c r="A522" s="34"/>
      <c r="B522" s="77"/>
    </row>
    <row r="523" ht="15.75" customHeight="1">
      <c r="A523" s="34"/>
      <c r="B523" s="77"/>
    </row>
    <row r="524" ht="15.75" customHeight="1">
      <c r="A524" s="34"/>
      <c r="B524" s="77"/>
    </row>
    <row r="525" ht="15.75" customHeight="1">
      <c r="A525" s="34"/>
      <c r="B525" s="77"/>
    </row>
    <row r="526" ht="15.75" customHeight="1">
      <c r="A526" s="34"/>
      <c r="B526" s="77"/>
    </row>
    <row r="527" ht="15.75" customHeight="1">
      <c r="A527" s="34"/>
      <c r="B527" s="77"/>
    </row>
    <row r="528" ht="15.75" customHeight="1">
      <c r="A528" s="34"/>
      <c r="B528" s="77"/>
    </row>
    <row r="529" ht="15.75" customHeight="1">
      <c r="A529" s="34"/>
      <c r="B529" s="77"/>
    </row>
    <row r="530" ht="15.75" customHeight="1">
      <c r="A530" s="34"/>
      <c r="B530" s="77"/>
    </row>
    <row r="531" ht="15.75" customHeight="1">
      <c r="A531" s="34"/>
      <c r="B531" s="77"/>
    </row>
    <row r="532" ht="15.75" customHeight="1">
      <c r="A532" s="34"/>
      <c r="B532" s="77"/>
    </row>
    <row r="533" ht="15.75" customHeight="1">
      <c r="A533" s="34"/>
      <c r="B533" s="77"/>
    </row>
    <row r="534" ht="15.75" customHeight="1">
      <c r="A534" s="34"/>
      <c r="B534" s="77"/>
    </row>
    <row r="535" ht="15.75" customHeight="1">
      <c r="A535" s="34"/>
      <c r="B535" s="77"/>
    </row>
    <row r="536" ht="15.75" customHeight="1">
      <c r="A536" s="34"/>
      <c r="B536" s="77"/>
    </row>
    <row r="537" ht="15.75" customHeight="1">
      <c r="A537" s="34"/>
      <c r="B537" s="77"/>
    </row>
    <row r="538" ht="15.75" customHeight="1">
      <c r="A538" s="34"/>
      <c r="B538" s="77"/>
    </row>
    <row r="539" ht="15.75" customHeight="1">
      <c r="A539" s="34"/>
      <c r="B539" s="77"/>
    </row>
    <row r="540" ht="15.75" customHeight="1">
      <c r="A540" s="34"/>
      <c r="B540" s="77"/>
    </row>
    <row r="541" ht="15.75" customHeight="1">
      <c r="A541" s="34"/>
      <c r="B541" s="77"/>
    </row>
    <row r="542" ht="15.75" customHeight="1">
      <c r="A542" s="34"/>
      <c r="B542" s="77"/>
    </row>
    <row r="543" ht="15.75" customHeight="1">
      <c r="A543" s="34"/>
      <c r="B543" s="77"/>
    </row>
    <row r="544" ht="15.75" customHeight="1">
      <c r="A544" s="34"/>
      <c r="B544" s="77"/>
    </row>
    <row r="545" ht="15.75" customHeight="1">
      <c r="A545" s="34"/>
      <c r="B545" s="77"/>
    </row>
    <row r="546" ht="15.75" customHeight="1">
      <c r="A546" s="34"/>
      <c r="B546" s="77"/>
    </row>
    <row r="547" ht="15.75" customHeight="1">
      <c r="A547" s="34"/>
      <c r="B547" s="77"/>
    </row>
    <row r="548" ht="15.75" customHeight="1">
      <c r="A548" s="34"/>
      <c r="B548" s="77"/>
    </row>
    <row r="549" ht="15.75" customHeight="1">
      <c r="A549" s="34"/>
      <c r="B549" s="77"/>
    </row>
    <row r="550" ht="15.75" customHeight="1">
      <c r="A550" s="34"/>
      <c r="B550" s="77"/>
    </row>
    <row r="551" ht="15.75" customHeight="1">
      <c r="A551" s="34"/>
      <c r="B551" s="77"/>
    </row>
    <row r="552" ht="15.75" customHeight="1">
      <c r="A552" s="34"/>
      <c r="B552" s="77"/>
    </row>
    <row r="553" ht="15.75" customHeight="1">
      <c r="A553" s="34"/>
      <c r="B553" s="77"/>
    </row>
    <row r="554" ht="15.75" customHeight="1">
      <c r="A554" s="34"/>
      <c r="B554" s="77"/>
    </row>
    <row r="555" ht="15.75" customHeight="1">
      <c r="A555" s="34"/>
      <c r="B555" s="77"/>
    </row>
    <row r="556" ht="15.75" customHeight="1">
      <c r="A556" s="34"/>
      <c r="B556" s="77"/>
    </row>
    <row r="557" ht="15.75" customHeight="1">
      <c r="A557" s="34"/>
      <c r="B557" s="77"/>
    </row>
    <row r="558" ht="15.75" customHeight="1">
      <c r="A558" s="34"/>
      <c r="B558" s="77"/>
    </row>
    <row r="559" ht="15.75" customHeight="1">
      <c r="A559" s="34"/>
      <c r="B559" s="77"/>
    </row>
    <row r="560" ht="15.75" customHeight="1">
      <c r="A560" s="34"/>
      <c r="B560" s="77"/>
    </row>
    <row r="561" ht="15.75" customHeight="1">
      <c r="A561" s="34"/>
      <c r="B561" s="77"/>
    </row>
    <row r="562" ht="15.75" customHeight="1">
      <c r="A562" s="34"/>
      <c r="B562" s="77"/>
    </row>
    <row r="563" ht="15.75" customHeight="1">
      <c r="A563" s="34"/>
      <c r="B563" s="77"/>
    </row>
    <row r="564" ht="15.75" customHeight="1">
      <c r="A564" s="34"/>
      <c r="B564" s="77"/>
    </row>
    <row r="565" ht="15.75" customHeight="1">
      <c r="A565" s="34"/>
      <c r="B565" s="77"/>
    </row>
    <row r="566" ht="15.75" customHeight="1">
      <c r="A566" s="34"/>
      <c r="B566" s="77"/>
    </row>
    <row r="567" ht="15.75" customHeight="1">
      <c r="A567" s="34"/>
      <c r="B567" s="77"/>
    </row>
    <row r="568" ht="15.75" customHeight="1">
      <c r="A568" s="34"/>
      <c r="B568" s="77"/>
    </row>
    <row r="569" ht="15.75" customHeight="1">
      <c r="A569" s="34"/>
      <c r="B569" s="77"/>
    </row>
    <row r="570" ht="15.75" customHeight="1">
      <c r="A570" s="34"/>
      <c r="B570" s="77"/>
    </row>
    <row r="571" ht="15.75" customHeight="1">
      <c r="A571" s="34"/>
      <c r="B571" s="77"/>
    </row>
    <row r="572" ht="15.75" customHeight="1">
      <c r="A572" s="34"/>
      <c r="B572" s="77"/>
    </row>
    <row r="573" ht="15.75" customHeight="1">
      <c r="A573" s="34"/>
      <c r="B573" s="77"/>
    </row>
    <row r="574" ht="15.75" customHeight="1">
      <c r="A574" s="34"/>
      <c r="B574" s="77"/>
    </row>
    <row r="575" ht="15.75" customHeight="1">
      <c r="A575" s="34"/>
      <c r="B575" s="77"/>
    </row>
    <row r="576" ht="15.75" customHeight="1">
      <c r="A576" s="34"/>
      <c r="B576" s="77"/>
    </row>
    <row r="577" ht="15.75" customHeight="1">
      <c r="A577" s="34"/>
      <c r="B577" s="77"/>
    </row>
    <row r="578" ht="15.75" customHeight="1">
      <c r="A578" s="34"/>
      <c r="B578" s="77"/>
    </row>
    <row r="579" ht="15.75" customHeight="1">
      <c r="A579" s="34"/>
      <c r="B579" s="77"/>
    </row>
    <row r="580" ht="15.75" customHeight="1">
      <c r="A580" s="34"/>
      <c r="B580" s="77"/>
    </row>
    <row r="581" ht="15.75" customHeight="1">
      <c r="A581" s="34"/>
      <c r="B581" s="77"/>
    </row>
    <row r="582" ht="15.75" customHeight="1">
      <c r="A582" s="34"/>
      <c r="B582" s="77"/>
    </row>
    <row r="583" ht="15.75" customHeight="1">
      <c r="A583" s="34"/>
      <c r="B583" s="77"/>
    </row>
    <row r="584" ht="15.75" customHeight="1">
      <c r="A584" s="34"/>
      <c r="B584" s="77"/>
    </row>
    <row r="585" ht="15.75" customHeight="1">
      <c r="A585" s="34"/>
      <c r="B585" s="77"/>
    </row>
    <row r="586" ht="15.75" customHeight="1">
      <c r="A586" s="34"/>
      <c r="B586" s="77"/>
    </row>
    <row r="587" ht="15.75" customHeight="1">
      <c r="A587" s="34"/>
      <c r="B587" s="77"/>
    </row>
    <row r="588" ht="15.75" customHeight="1">
      <c r="A588" s="34"/>
      <c r="B588" s="77"/>
    </row>
    <row r="589" ht="15.75" customHeight="1">
      <c r="A589" s="34"/>
      <c r="B589" s="77"/>
    </row>
    <row r="590" ht="15.75" customHeight="1">
      <c r="A590" s="34"/>
      <c r="B590" s="77"/>
    </row>
    <row r="591" ht="15.75" customHeight="1">
      <c r="A591" s="34"/>
      <c r="B591" s="77"/>
    </row>
    <row r="592" ht="15.75" customHeight="1">
      <c r="A592" s="34"/>
      <c r="B592" s="77"/>
    </row>
    <row r="593" ht="15.75" customHeight="1">
      <c r="A593" s="34"/>
      <c r="B593" s="77"/>
    </row>
    <row r="594" ht="15.75" customHeight="1">
      <c r="A594" s="34"/>
      <c r="B594" s="77"/>
    </row>
    <row r="595" ht="15.75" customHeight="1">
      <c r="A595" s="34"/>
      <c r="B595" s="77"/>
    </row>
    <row r="596" ht="15.75" customHeight="1">
      <c r="A596" s="34"/>
      <c r="B596" s="77"/>
    </row>
    <row r="597" ht="15.75" customHeight="1">
      <c r="A597" s="34"/>
      <c r="B597" s="77"/>
    </row>
    <row r="598" ht="15.75" customHeight="1">
      <c r="A598" s="34"/>
      <c r="B598" s="77"/>
    </row>
    <row r="599" ht="15.75" customHeight="1">
      <c r="A599" s="34"/>
      <c r="B599" s="77"/>
    </row>
    <row r="600" ht="15.75" customHeight="1">
      <c r="A600" s="34"/>
      <c r="B600" s="77"/>
    </row>
    <row r="601" ht="15.75" customHeight="1">
      <c r="A601" s="34"/>
      <c r="B601" s="77"/>
    </row>
    <row r="602" ht="15.75" customHeight="1">
      <c r="A602" s="34"/>
      <c r="B602" s="77"/>
    </row>
    <row r="603" ht="15.75" customHeight="1">
      <c r="A603" s="34"/>
      <c r="B603" s="77"/>
    </row>
    <row r="604" ht="15.75" customHeight="1">
      <c r="A604" s="34"/>
      <c r="B604" s="77"/>
    </row>
    <row r="605" ht="15.75" customHeight="1">
      <c r="A605" s="34"/>
      <c r="B605" s="77"/>
    </row>
    <row r="606" ht="15.75" customHeight="1">
      <c r="A606" s="34"/>
      <c r="B606" s="77"/>
    </row>
    <row r="607" ht="15.75" customHeight="1">
      <c r="A607" s="34"/>
      <c r="B607" s="77"/>
    </row>
    <row r="608" ht="15.75" customHeight="1">
      <c r="A608" s="34"/>
      <c r="B608" s="77"/>
    </row>
    <row r="609" ht="15.75" customHeight="1">
      <c r="A609" s="34"/>
      <c r="B609" s="77"/>
    </row>
    <row r="610" ht="15.75" customHeight="1">
      <c r="A610" s="34"/>
      <c r="B610" s="77"/>
    </row>
    <row r="611" ht="15.75" customHeight="1">
      <c r="A611" s="34"/>
      <c r="B611" s="77"/>
    </row>
    <row r="612" ht="15.75" customHeight="1">
      <c r="A612" s="34"/>
      <c r="B612" s="77"/>
    </row>
    <row r="613" ht="15.75" customHeight="1">
      <c r="A613" s="34"/>
      <c r="B613" s="77"/>
    </row>
    <row r="614" ht="15.75" customHeight="1">
      <c r="A614" s="34"/>
      <c r="B614" s="77"/>
    </row>
    <row r="615" ht="15.75" customHeight="1">
      <c r="A615" s="34"/>
      <c r="B615" s="77"/>
    </row>
    <row r="616" ht="15.75" customHeight="1">
      <c r="A616" s="34"/>
      <c r="B616" s="77"/>
    </row>
    <row r="617" ht="15.75" customHeight="1">
      <c r="A617" s="34"/>
      <c r="B617" s="77"/>
    </row>
    <row r="618" ht="15.75" customHeight="1">
      <c r="A618" s="34"/>
      <c r="B618" s="77"/>
    </row>
    <row r="619" ht="15.75" customHeight="1">
      <c r="A619" s="34"/>
      <c r="B619" s="77"/>
    </row>
    <row r="620" ht="15.75" customHeight="1">
      <c r="A620" s="34"/>
      <c r="B620" s="77"/>
    </row>
    <row r="621" ht="15.75" customHeight="1">
      <c r="A621" s="34"/>
      <c r="B621" s="77"/>
    </row>
    <row r="622" ht="15.75" customHeight="1">
      <c r="A622" s="34"/>
      <c r="B622" s="77"/>
    </row>
    <row r="623" ht="15.75" customHeight="1">
      <c r="A623" s="34"/>
      <c r="B623" s="77"/>
    </row>
    <row r="624" ht="15.75" customHeight="1">
      <c r="A624" s="34"/>
      <c r="B624" s="77"/>
    </row>
    <row r="625" ht="15.75" customHeight="1">
      <c r="A625" s="34"/>
      <c r="B625" s="77"/>
    </row>
    <row r="626" ht="15.75" customHeight="1">
      <c r="A626" s="34"/>
      <c r="B626" s="77"/>
    </row>
    <row r="627" ht="15.75" customHeight="1">
      <c r="A627" s="34"/>
      <c r="B627" s="77"/>
    </row>
    <row r="628" ht="15.75" customHeight="1">
      <c r="A628" s="34"/>
      <c r="B628" s="77"/>
    </row>
    <row r="629" ht="15.75" customHeight="1">
      <c r="A629" s="34"/>
      <c r="B629" s="77"/>
    </row>
    <row r="630" ht="15.75" customHeight="1">
      <c r="A630" s="34"/>
      <c r="B630" s="77"/>
    </row>
    <row r="631" ht="15.75" customHeight="1">
      <c r="A631" s="34"/>
      <c r="B631" s="77"/>
    </row>
    <row r="632" ht="15.75" customHeight="1">
      <c r="A632" s="34"/>
      <c r="B632" s="77"/>
    </row>
    <row r="633" ht="15.75" customHeight="1">
      <c r="A633" s="34"/>
      <c r="B633" s="77"/>
    </row>
    <row r="634" ht="15.75" customHeight="1">
      <c r="A634" s="34"/>
      <c r="B634" s="77"/>
    </row>
    <row r="635" ht="15.75" customHeight="1">
      <c r="A635" s="34"/>
      <c r="B635" s="77"/>
    </row>
    <row r="636" ht="15.75" customHeight="1">
      <c r="A636" s="34"/>
      <c r="B636" s="77"/>
    </row>
    <row r="637" ht="15.75" customHeight="1">
      <c r="A637" s="34"/>
      <c r="B637" s="77"/>
    </row>
    <row r="638" ht="15.75" customHeight="1">
      <c r="A638" s="34"/>
      <c r="B638" s="77"/>
    </row>
    <row r="639" ht="15.75" customHeight="1">
      <c r="A639" s="34"/>
      <c r="B639" s="77"/>
    </row>
    <row r="640" ht="15.75" customHeight="1">
      <c r="A640" s="34"/>
      <c r="B640" s="77"/>
    </row>
    <row r="641" ht="15.75" customHeight="1">
      <c r="A641" s="34"/>
      <c r="B641" s="77"/>
    </row>
    <row r="642" ht="15.75" customHeight="1">
      <c r="A642" s="34"/>
      <c r="B642" s="77"/>
    </row>
    <row r="643" ht="15.75" customHeight="1">
      <c r="A643" s="34"/>
      <c r="B643" s="77"/>
    </row>
    <row r="644" ht="15.75" customHeight="1">
      <c r="A644" s="34"/>
      <c r="B644" s="77"/>
    </row>
    <row r="645" ht="15.75" customHeight="1">
      <c r="A645" s="34"/>
      <c r="B645" s="77"/>
    </row>
    <row r="646" ht="15.75" customHeight="1">
      <c r="A646" s="34"/>
      <c r="B646" s="77"/>
    </row>
    <row r="647" ht="15.75" customHeight="1">
      <c r="A647" s="34"/>
      <c r="B647" s="77"/>
    </row>
    <row r="648" ht="15.75" customHeight="1">
      <c r="A648" s="34"/>
      <c r="B648" s="77"/>
    </row>
    <row r="649" ht="15.75" customHeight="1">
      <c r="A649" s="34"/>
      <c r="B649" s="77"/>
    </row>
    <row r="650" ht="15.75" customHeight="1">
      <c r="A650" s="34"/>
      <c r="B650" s="77"/>
    </row>
    <row r="651" ht="15.75" customHeight="1">
      <c r="A651" s="34"/>
      <c r="B651" s="77"/>
    </row>
    <row r="652" ht="15.75" customHeight="1">
      <c r="A652" s="34"/>
      <c r="B652" s="77"/>
    </row>
    <row r="653" ht="15.75" customHeight="1">
      <c r="A653" s="34"/>
      <c r="B653" s="77"/>
    </row>
    <row r="654" ht="15.75" customHeight="1">
      <c r="A654" s="34"/>
      <c r="B654" s="77"/>
    </row>
    <row r="655" ht="15.75" customHeight="1">
      <c r="A655" s="34"/>
      <c r="B655" s="77"/>
    </row>
    <row r="656" ht="15.75" customHeight="1">
      <c r="A656" s="34"/>
      <c r="B656" s="77"/>
    </row>
    <row r="657" ht="15.75" customHeight="1">
      <c r="A657" s="34"/>
      <c r="B657" s="77"/>
    </row>
    <row r="658" ht="15.75" customHeight="1">
      <c r="A658" s="34"/>
      <c r="B658" s="77"/>
    </row>
    <row r="659" ht="15.75" customHeight="1">
      <c r="A659" s="34"/>
      <c r="B659" s="77"/>
    </row>
    <row r="660" ht="15.75" customHeight="1">
      <c r="A660" s="34"/>
      <c r="B660" s="77"/>
    </row>
    <row r="661" ht="15.75" customHeight="1">
      <c r="A661" s="34"/>
      <c r="B661" s="77"/>
    </row>
    <row r="662" ht="15.75" customHeight="1">
      <c r="A662" s="34"/>
      <c r="B662" s="77"/>
    </row>
    <row r="663" ht="15.75" customHeight="1">
      <c r="A663" s="34"/>
      <c r="B663" s="77"/>
    </row>
    <row r="664" ht="15.75" customHeight="1">
      <c r="A664" s="34"/>
      <c r="B664" s="77"/>
    </row>
    <row r="665" ht="15.75" customHeight="1">
      <c r="A665" s="34"/>
      <c r="B665" s="77"/>
    </row>
    <row r="666" ht="15.75" customHeight="1">
      <c r="A666" s="34"/>
      <c r="B666" s="77"/>
    </row>
    <row r="667" ht="15.75" customHeight="1">
      <c r="A667" s="34"/>
      <c r="B667" s="77"/>
    </row>
    <row r="668" ht="15.75" customHeight="1">
      <c r="A668" s="34"/>
      <c r="B668" s="77"/>
    </row>
    <row r="669" ht="15.75" customHeight="1">
      <c r="A669" s="34"/>
      <c r="B669" s="77"/>
    </row>
    <row r="670" ht="15.75" customHeight="1">
      <c r="A670" s="34"/>
      <c r="B670" s="77"/>
    </row>
    <row r="671" ht="15.75" customHeight="1">
      <c r="A671" s="34"/>
      <c r="B671" s="77"/>
    </row>
    <row r="672" ht="15.75" customHeight="1">
      <c r="A672" s="34"/>
      <c r="B672" s="77"/>
    </row>
    <row r="673" ht="15.75" customHeight="1">
      <c r="A673" s="34"/>
      <c r="B673" s="77"/>
    </row>
    <row r="674" ht="15.75" customHeight="1">
      <c r="A674" s="34"/>
      <c r="B674" s="77"/>
    </row>
    <row r="675" ht="15.75" customHeight="1">
      <c r="A675" s="34"/>
      <c r="B675" s="77"/>
    </row>
    <row r="676" ht="15.75" customHeight="1">
      <c r="A676" s="34"/>
      <c r="B676" s="77"/>
    </row>
    <row r="677" ht="15.75" customHeight="1">
      <c r="A677" s="34"/>
      <c r="B677" s="77"/>
    </row>
    <row r="678" ht="15.75" customHeight="1">
      <c r="A678" s="34"/>
      <c r="B678" s="77"/>
    </row>
    <row r="679" ht="15.75" customHeight="1">
      <c r="A679" s="34"/>
      <c r="B679" s="77"/>
    </row>
    <row r="680" ht="15.75" customHeight="1">
      <c r="A680" s="34"/>
      <c r="B680" s="77"/>
    </row>
    <row r="681" ht="15.75" customHeight="1">
      <c r="A681" s="34"/>
      <c r="B681" s="77"/>
    </row>
    <row r="682" ht="15.75" customHeight="1">
      <c r="A682" s="34"/>
      <c r="B682" s="77"/>
    </row>
    <row r="683" ht="15.75" customHeight="1">
      <c r="A683" s="34"/>
      <c r="B683" s="77"/>
    </row>
    <row r="684" ht="15.75" customHeight="1">
      <c r="A684" s="34"/>
      <c r="B684" s="77"/>
    </row>
    <row r="685" ht="15.75" customHeight="1">
      <c r="A685" s="34"/>
      <c r="B685" s="77"/>
    </row>
    <row r="686" ht="15.75" customHeight="1">
      <c r="A686" s="34"/>
      <c r="B686" s="77"/>
    </row>
    <row r="687" ht="15.75" customHeight="1">
      <c r="A687" s="34"/>
      <c r="B687" s="77"/>
    </row>
    <row r="688" ht="15.75" customHeight="1">
      <c r="A688" s="34"/>
      <c r="B688" s="77"/>
    </row>
    <row r="689" ht="15.75" customHeight="1">
      <c r="A689" s="34"/>
      <c r="B689" s="77"/>
    </row>
    <row r="690" ht="15.75" customHeight="1">
      <c r="A690" s="34"/>
      <c r="B690" s="77"/>
    </row>
    <row r="691" ht="15.75" customHeight="1">
      <c r="A691" s="34"/>
      <c r="B691" s="77"/>
    </row>
    <row r="692" ht="15.75" customHeight="1">
      <c r="A692" s="34"/>
      <c r="B692" s="77"/>
    </row>
    <row r="693" ht="15.75" customHeight="1">
      <c r="A693" s="34"/>
      <c r="B693" s="77"/>
    </row>
    <row r="694" ht="15.75" customHeight="1">
      <c r="A694" s="34"/>
      <c r="B694" s="77"/>
    </row>
    <row r="695" ht="15.75" customHeight="1">
      <c r="A695" s="34"/>
      <c r="B695" s="77"/>
    </row>
    <row r="696" ht="15.75" customHeight="1">
      <c r="A696" s="34"/>
      <c r="B696" s="77"/>
    </row>
    <row r="697" ht="15.75" customHeight="1">
      <c r="A697" s="34"/>
      <c r="B697" s="77"/>
    </row>
    <row r="698" ht="15.75" customHeight="1">
      <c r="A698" s="34"/>
      <c r="B698" s="77"/>
    </row>
    <row r="699" ht="15.75" customHeight="1">
      <c r="A699" s="34"/>
      <c r="B699" s="77"/>
    </row>
    <row r="700" ht="15.75" customHeight="1">
      <c r="A700" s="34"/>
      <c r="B700" s="77"/>
    </row>
    <row r="701" ht="15.75" customHeight="1">
      <c r="A701" s="34"/>
      <c r="B701" s="77"/>
    </row>
    <row r="702" ht="15.75" customHeight="1">
      <c r="A702" s="34"/>
      <c r="B702" s="77"/>
    </row>
    <row r="703" ht="15.75" customHeight="1">
      <c r="A703" s="34"/>
      <c r="B703" s="77"/>
    </row>
    <row r="704" ht="15.75" customHeight="1">
      <c r="A704" s="34"/>
      <c r="B704" s="77"/>
    </row>
    <row r="705" ht="15.75" customHeight="1">
      <c r="A705" s="34"/>
      <c r="B705" s="77"/>
    </row>
    <row r="706" ht="15.75" customHeight="1">
      <c r="A706" s="34"/>
      <c r="B706" s="77"/>
    </row>
    <row r="707" ht="15.75" customHeight="1">
      <c r="A707" s="34"/>
      <c r="B707" s="77"/>
    </row>
    <row r="708" ht="15.75" customHeight="1">
      <c r="A708" s="34"/>
      <c r="B708" s="77"/>
    </row>
    <row r="709" ht="15.75" customHeight="1">
      <c r="A709" s="34"/>
      <c r="B709" s="77"/>
    </row>
    <row r="710" ht="15.75" customHeight="1">
      <c r="A710" s="34"/>
      <c r="B710" s="77"/>
    </row>
    <row r="711" ht="15.75" customHeight="1">
      <c r="A711" s="34"/>
      <c r="B711" s="77"/>
    </row>
    <row r="712" ht="15.75" customHeight="1">
      <c r="A712" s="34"/>
      <c r="B712" s="77"/>
    </row>
    <row r="713" ht="15.75" customHeight="1">
      <c r="A713" s="34"/>
      <c r="B713" s="77"/>
    </row>
    <row r="714" ht="15.75" customHeight="1">
      <c r="A714" s="34"/>
      <c r="B714" s="77"/>
    </row>
    <row r="715" ht="15.75" customHeight="1">
      <c r="A715" s="34"/>
      <c r="B715" s="77"/>
    </row>
    <row r="716" ht="15.75" customHeight="1">
      <c r="A716" s="34"/>
      <c r="B716" s="77"/>
    </row>
    <row r="717" ht="15.75" customHeight="1">
      <c r="A717" s="34"/>
      <c r="B717" s="77"/>
    </row>
    <row r="718" ht="15.75" customHeight="1">
      <c r="A718" s="34"/>
      <c r="B718" s="77"/>
    </row>
    <row r="719" ht="15.75" customHeight="1">
      <c r="A719" s="34"/>
      <c r="B719" s="77"/>
    </row>
    <row r="720" ht="15.75" customHeight="1">
      <c r="A720" s="34"/>
      <c r="B720" s="77"/>
    </row>
    <row r="721" ht="15.75" customHeight="1">
      <c r="A721" s="34"/>
      <c r="B721" s="77"/>
    </row>
    <row r="722" ht="15.75" customHeight="1">
      <c r="A722" s="34"/>
      <c r="B722" s="77"/>
    </row>
    <row r="723" ht="15.75" customHeight="1">
      <c r="A723" s="34"/>
      <c r="B723" s="77"/>
    </row>
    <row r="724" ht="15.75" customHeight="1">
      <c r="A724" s="34"/>
      <c r="B724" s="77"/>
    </row>
    <row r="725" ht="15.75" customHeight="1">
      <c r="A725" s="34"/>
      <c r="B725" s="77"/>
    </row>
    <row r="726" ht="15.75" customHeight="1">
      <c r="A726" s="34"/>
      <c r="B726" s="77"/>
    </row>
    <row r="727" ht="15.75" customHeight="1">
      <c r="A727" s="34"/>
      <c r="B727" s="77"/>
    </row>
    <row r="728" ht="15.75" customHeight="1">
      <c r="A728" s="34"/>
      <c r="B728" s="77"/>
    </row>
    <row r="729" ht="15.75" customHeight="1">
      <c r="A729" s="34"/>
      <c r="B729" s="77"/>
    </row>
    <row r="730" ht="15.75" customHeight="1">
      <c r="A730" s="34"/>
      <c r="B730" s="77"/>
    </row>
    <row r="731" ht="15.75" customHeight="1">
      <c r="A731" s="34"/>
      <c r="B731" s="77"/>
    </row>
    <row r="732" ht="15.75" customHeight="1">
      <c r="A732" s="34"/>
      <c r="B732" s="77"/>
    </row>
    <row r="733" ht="15.75" customHeight="1">
      <c r="A733" s="34"/>
      <c r="B733" s="77"/>
    </row>
    <row r="734" ht="15.75" customHeight="1">
      <c r="A734" s="34"/>
      <c r="B734" s="77"/>
    </row>
    <row r="735" ht="15.75" customHeight="1">
      <c r="A735" s="34"/>
      <c r="B735" s="77"/>
    </row>
    <row r="736" ht="15.75" customHeight="1">
      <c r="A736" s="34"/>
      <c r="B736" s="77"/>
    </row>
    <row r="737" ht="15.75" customHeight="1">
      <c r="A737" s="34"/>
      <c r="B737" s="77"/>
    </row>
    <row r="738" ht="15.75" customHeight="1">
      <c r="A738" s="34"/>
      <c r="B738" s="77"/>
    </row>
    <row r="739" ht="15.75" customHeight="1">
      <c r="A739" s="34"/>
      <c r="B739" s="77"/>
    </row>
    <row r="740" ht="15.75" customHeight="1">
      <c r="A740" s="34"/>
      <c r="B740" s="77"/>
    </row>
    <row r="741" ht="15.75" customHeight="1">
      <c r="A741" s="34"/>
      <c r="B741" s="77"/>
    </row>
    <row r="742" ht="15.75" customHeight="1">
      <c r="A742" s="34"/>
      <c r="B742" s="77"/>
    </row>
    <row r="743" ht="15.75" customHeight="1">
      <c r="A743" s="34"/>
      <c r="B743" s="77"/>
    </row>
    <row r="744" ht="15.75" customHeight="1">
      <c r="A744" s="34"/>
      <c r="B744" s="77"/>
    </row>
    <row r="745" ht="15.75" customHeight="1">
      <c r="A745" s="34"/>
      <c r="B745" s="77"/>
    </row>
    <row r="746" ht="15.75" customHeight="1">
      <c r="A746" s="34"/>
      <c r="B746" s="77"/>
    </row>
    <row r="747" ht="15.75" customHeight="1">
      <c r="A747" s="34"/>
      <c r="B747" s="77"/>
    </row>
    <row r="748" ht="15.75" customHeight="1">
      <c r="A748" s="34"/>
      <c r="B748" s="77"/>
    </row>
    <row r="749" ht="15.75" customHeight="1">
      <c r="A749" s="34"/>
      <c r="B749" s="77"/>
    </row>
    <row r="750" ht="15.75" customHeight="1">
      <c r="A750" s="34"/>
      <c r="B750" s="77"/>
    </row>
    <row r="751" ht="15.75" customHeight="1">
      <c r="A751" s="34"/>
      <c r="B751" s="77"/>
    </row>
    <row r="752" ht="15.75" customHeight="1">
      <c r="A752" s="34"/>
      <c r="B752" s="77"/>
    </row>
    <row r="753" ht="15.75" customHeight="1">
      <c r="A753" s="34"/>
      <c r="B753" s="77"/>
    </row>
    <row r="754" ht="15.75" customHeight="1">
      <c r="A754" s="34"/>
      <c r="B754" s="77"/>
    </row>
    <row r="755" ht="15.75" customHeight="1">
      <c r="A755" s="34"/>
      <c r="B755" s="77"/>
    </row>
    <row r="756" ht="15.75" customHeight="1">
      <c r="A756" s="34"/>
      <c r="B756" s="77"/>
    </row>
    <row r="757" ht="15.75" customHeight="1">
      <c r="A757" s="34"/>
      <c r="B757" s="77"/>
    </row>
    <row r="758" ht="15.75" customHeight="1">
      <c r="A758" s="34"/>
      <c r="B758" s="77"/>
    </row>
    <row r="759" ht="15.75" customHeight="1">
      <c r="A759" s="34"/>
      <c r="B759" s="77"/>
    </row>
    <row r="760" ht="15.75" customHeight="1">
      <c r="A760" s="34"/>
      <c r="B760" s="77"/>
    </row>
    <row r="761" ht="15.75" customHeight="1">
      <c r="A761" s="34"/>
      <c r="B761" s="77"/>
    </row>
    <row r="762" ht="15.75" customHeight="1">
      <c r="A762" s="34"/>
      <c r="B762" s="77"/>
    </row>
    <row r="763" ht="15.75" customHeight="1">
      <c r="A763" s="34"/>
      <c r="B763" s="77"/>
    </row>
    <row r="764" ht="15.75" customHeight="1">
      <c r="A764" s="34"/>
      <c r="B764" s="77"/>
    </row>
    <row r="765" ht="15.75" customHeight="1">
      <c r="A765" s="34"/>
      <c r="B765" s="77"/>
    </row>
    <row r="766" ht="15.75" customHeight="1">
      <c r="A766" s="34"/>
      <c r="B766" s="77"/>
    </row>
    <row r="767" ht="15.75" customHeight="1">
      <c r="A767" s="34"/>
      <c r="B767" s="77"/>
    </row>
    <row r="768" ht="15.75" customHeight="1">
      <c r="A768" s="34"/>
      <c r="B768" s="77"/>
    </row>
    <row r="769" ht="15.75" customHeight="1">
      <c r="A769" s="34"/>
      <c r="B769" s="77"/>
    </row>
    <row r="770" ht="15.75" customHeight="1">
      <c r="A770" s="34"/>
      <c r="B770" s="77"/>
    </row>
    <row r="771" ht="15.75" customHeight="1">
      <c r="A771" s="34"/>
      <c r="B771" s="77"/>
    </row>
    <row r="772" ht="15.75" customHeight="1">
      <c r="A772" s="34"/>
      <c r="B772" s="77"/>
    </row>
    <row r="773" ht="15.75" customHeight="1">
      <c r="A773" s="34"/>
      <c r="B773" s="77"/>
    </row>
    <row r="774" ht="15.75" customHeight="1">
      <c r="A774" s="34"/>
      <c r="B774" s="77"/>
    </row>
    <row r="775" ht="15.75" customHeight="1">
      <c r="A775" s="34"/>
      <c r="B775" s="77"/>
    </row>
    <row r="776" ht="15.75" customHeight="1">
      <c r="A776" s="34"/>
      <c r="B776" s="77"/>
    </row>
    <row r="777" ht="15.75" customHeight="1">
      <c r="A777" s="34"/>
      <c r="B777" s="77"/>
    </row>
    <row r="778" ht="15.75" customHeight="1">
      <c r="A778" s="34"/>
      <c r="B778" s="77"/>
    </row>
    <row r="779" ht="15.75" customHeight="1">
      <c r="A779" s="34"/>
      <c r="B779" s="77"/>
    </row>
    <row r="780" ht="15.75" customHeight="1">
      <c r="A780" s="34"/>
      <c r="B780" s="77"/>
    </row>
    <row r="781" ht="15.75" customHeight="1">
      <c r="A781" s="34"/>
      <c r="B781" s="77"/>
    </row>
    <row r="782" ht="15.75" customHeight="1">
      <c r="A782" s="34"/>
      <c r="B782" s="77"/>
    </row>
    <row r="783" ht="15.75" customHeight="1">
      <c r="A783" s="34"/>
      <c r="B783" s="77"/>
    </row>
    <row r="784" ht="15.75" customHeight="1">
      <c r="A784" s="34"/>
      <c r="B784" s="77"/>
    </row>
    <row r="785" ht="15.75" customHeight="1">
      <c r="A785" s="34"/>
      <c r="B785" s="77"/>
    </row>
    <row r="786" ht="15.75" customHeight="1">
      <c r="A786" s="34"/>
      <c r="B786" s="77"/>
    </row>
    <row r="787" ht="15.75" customHeight="1">
      <c r="A787" s="34"/>
      <c r="B787" s="77"/>
    </row>
    <row r="788" ht="15.75" customHeight="1">
      <c r="A788" s="34"/>
      <c r="B788" s="77"/>
    </row>
    <row r="789" ht="15.75" customHeight="1">
      <c r="A789" s="34"/>
      <c r="B789" s="77"/>
    </row>
    <row r="790" ht="15.75" customHeight="1">
      <c r="A790" s="34"/>
      <c r="B790" s="77"/>
    </row>
    <row r="791" ht="15.75" customHeight="1">
      <c r="A791" s="34"/>
      <c r="B791" s="77"/>
    </row>
    <row r="792" ht="15.75" customHeight="1">
      <c r="A792" s="34"/>
      <c r="B792" s="77"/>
    </row>
    <row r="793" ht="15.75" customHeight="1">
      <c r="A793" s="34"/>
      <c r="B793" s="77"/>
    </row>
    <row r="794" ht="15.75" customHeight="1">
      <c r="A794" s="34"/>
      <c r="B794" s="77"/>
    </row>
    <row r="795" ht="15.75" customHeight="1">
      <c r="A795" s="34"/>
      <c r="B795" s="77"/>
    </row>
    <row r="796" ht="15.75" customHeight="1">
      <c r="A796" s="34"/>
      <c r="B796" s="77"/>
    </row>
    <row r="797" ht="15.75" customHeight="1">
      <c r="A797" s="34"/>
      <c r="B797" s="77"/>
    </row>
    <row r="798" ht="15.75" customHeight="1">
      <c r="A798" s="34"/>
      <c r="B798" s="77"/>
    </row>
    <row r="799" ht="15.75" customHeight="1">
      <c r="A799" s="34"/>
      <c r="B799" s="77"/>
    </row>
    <row r="800" ht="15.75" customHeight="1">
      <c r="A800" s="34"/>
      <c r="B800" s="77"/>
    </row>
    <row r="801" ht="15.75" customHeight="1">
      <c r="A801" s="34"/>
      <c r="B801" s="77"/>
    </row>
    <row r="802" ht="15.75" customHeight="1">
      <c r="A802" s="34"/>
      <c r="B802" s="77"/>
    </row>
    <row r="803" ht="15.75" customHeight="1">
      <c r="A803" s="34"/>
      <c r="B803" s="77"/>
    </row>
    <row r="804" ht="15.75" customHeight="1">
      <c r="A804" s="34"/>
      <c r="B804" s="77"/>
    </row>
    <row r="805" ht="15.75" customHeight="1">
      <c r="A805" s="34"/>
      <c r="B805" s="77"/>
    </row>
    <row r="806" ht="15.75" customHeight="1">
      <c r="A806" s="34"/>
      <c r="B806" s="77"/>
    </row>
    <row r="807" ht="15.75" customHeight="1">
      <c r="A807" s="34"/>
      <c r="B807" s="77"/>
    </row>
    <row r="808" ht="15.75" customHeight="1">
      <c r="A808" s="34"/>
      <c r="B808" s="77"/>
    </row>
    <row r="809" ht="15.75" customHeight="1">
      <c r="A809" s="34"/>
      <c r="B809" s="77"/>
    </row>
    <row r="810" ht="15.75" customHeight="1">
      <c r="A810" s="34"/>
      <c r="B810" s="77"/>
    </row>
    <row r="811" ht="15.75" customHeight="1">
      <c r="A811" s="34"/>
      <c r="B811" s="77"/>
    </row>
    <row r="812" ht="15.75" customHeight="1">
      <c r="A812" s="34"/>
      <c r="B812" s="77"/>
    </row>
    <row r="813" ht="15.75" customHeight="1">
      <c r="A813" s="34"/>
      <c r="B813" s="77"/>
    </row>
    <row r="814" ht="15.75" customHeight="1">
      <c r="A814" s="34"/>
      <c r="B814" s="77"/>
    </row>
    <row r="815" ht="15.75" customHeight="1">
      <c r="A815" s="34"/>
      <c r="B815" s="77"/>
    </row>
    <row r="816" ht="15.75" customHeight="1">
      <c r="A816" s="34"/>
      <c r="B816" s="77"/>
    </row>
    <row r="817" ht="15.75" customHeight="1">
      <c r="A817" s="34"/>
      <c r="B817" s="77"/>
    </row>
    <row r="818" ht="15.75" customHeight="1">
      <c r="A818" s="34"/>
      <c r="B818" s="77"/>
    </row>
    <row r="819" ht="15.75" customHeight="1">
      <c r="A819" s="34"/>
      <c r="B819" s="77"/>
    </row>
    <row r="820" ht="15.75" customHeight="1">
      <c r="A820" s="34"/>
      <c r="B820" s="77"/>
    </row>
    <row r="821" ht="15.75" customHeight="1">
      <c r="A821" s="34"/>
      <c r="B821" s="77"/>
    </row>
    <row r="822" ht="15.75" customHeight="1">
      <c r="A822" s="34"/>
      <c r="B822" s="77"/>
    </row>
    <row r="823" ht="15.75" customHeight="1">
      <c r="A823" s="34"/>
      <c r="B823" s="77"/>
    </row>
    <row r="824" ht="15.75" customHeight="1">
      <c r="A824" s="34"/>
      <c r="B824" s="77"/>
    </row>
    <row r="825" ht="15.75" customHeight="1">
      <c r="A825" s="34"/>
      <c r="B825" s="77"/>
    </row>
    <row r="826" ht="15.75" customHeight="1">
      <c r="A826" s="34"/>
      <c r="B826" s="77"/>
    </row>
    <row r="827" ht="15.75" customHeight="1">
      <c r="A827" s="34"/>
      <c r="B827" s="77"/>
    </row>
    <row r="828" ht="15.75" customHeight="1">
      <c r="A828" s="34"/>
      <c r="B828" s="77"/>
    </row>
    <row r="829" ht="15.75" customHeight="1">
      <c r="A829" s="34"/>
      <c r="B829" s="77"/>
    </row>
    <row r="830" ht="15.75" customHeight="1">
      <c r="A830" s="34"/>
      <c r="B830" s="77"/>
    </row>
    <row r="831" ht="15.75" customHeight="1">
      <c r="A831" s="34"/>
      <c r="B831" s="77"/>
    </row>
    <row r="832" ht="15.75" customHeight="1">
      <c r="A832" s="34"/>
      <c r="B832" s="77"/>
    </row>
    <row r="833" ht="15.75" customHeight="1">
      <c r="A833" s="34"/>
      <c r="B833" s="77"/>
    </row>
    <row r="834" ht="15.75" customHeight="1">
      <c r="A834" s="34"/>
      <c r="B834" s="77"/>
    </row>
    <row r="835" ht="15.75" customHeight="1">
      <c r="A835" s="34"/>
      <c r="B835" s="77"/>
    </row>
    <row r="836" ht="15.75" customHeight="1">
      <c r="A836" s="34"/>
      <c r="B836" s="77"/>
    </row>
    <row r="837" ht="15.75" customHeight="1">
      <c r="A837" s="34"/>
      <c r="B837" s="77"/>
    </row>
    <row r="838" ht="15.75" customHeight="1">
      <c r="A838" s="34"/>
      <c r="B838" s="77"/>
    </row>
    <row r="839" ht="15.75" customHeight="1">
      <c r="A839" s="34"/>
      <c r="B839" s="77"/>
    </row>
    <row r="840" ht="15.75" customHeight="1">
      <c r="A840" s="34"/>
      <c r="B840" s="77"/>
    </row>
    <row r="841" ht="15.75" customHeight="1">
      <c r="A841" s="34"/>
      <c r="B841" s="77"/>
    </row>
    <row r="842" ht="15.75" customHeight="1">
      <c r="A842" s="34"/>
      <c r="B842" s="77"/>
    </row>
    <row r="843" ht="15.75" customHeight="1">
      <c r="A843" s="34"/>
      <c r="B843" s="77"/>
    </row>
    <row r="844" ht="15.75" customHeight="1">
      <c r="A844" s="34"/>
      <c r="B844" s="77"/>
    </row>
    <row r="845" ht="15.75" customHeight="1">
      <c r="A845" s="34"/>
      <c r="B845" s="77"/>
    </row>
    <row r="846" ht="15.75" customHeight="1">
      <c r="A846" s="34"/>
      <c r="B846" s="77"/>
    </row>
    <row r="847" ht="15.75" customHeight="1">
      <c r="A847" s="34"/>
      <c r="B847" s="77"/>
    </row>
    <row r="848" ht="15.75" customHeight="1">
      <c r="A848" s="34"/>
      <c r="B848" s="77"/>
    </row>
    <row r="849" ht="15.75" customHeight="1">
      <c r="A849" s="34"/>
      <c r="B849" s="77"/>
    </row>
    <row r="850" ht="15.75" customHeight="1">
      <c r="A850" s="34"/>
      <c r="B850" s="77"/>
    </row>
    <row r="851" ht="15.75" customHeight="1">
      <c r="A851" s="34"/>
      <c r="B851" s="77"/>
    </row>
    <row r="852" ht="15.75" customHeight="1">
      <c r="A852" s="34"/>
      <c r="B852" s="77"/>
    </row>
    <row r="853" ht="15.75" customHeight="1">
      <c r="A853" s="34"/>
      <c r="B853" s="77"/>
    </row>
    <row r="854" ht="15.75" customHeight="1">
      <c r="A854" s="34"/>
      <c r="B854" s="77"/>
    </row>
    <row r="855" ht="15.75" customHeight="1">
      <c r="A855" s="34"/>
      <c r="B855" s="77"/>
    </row>
    <row r="856" ht="15.75" customHeight="1">
      <c r="A856" s="34"/>
      <c r="B856" s="77"/>
    </row>
    <row r="857" ht="15.75" customHeight="1">
      <c r="A857" s="34"/>
      <c r="B857" s="77"/>
    </row>
    <row r="858" ht="15.75" customHeight="1">
      <c r="A858" s="34"/>
      <c r="B858" s="77"/>
    </row>
    <row r="859" ht="15.75" customHeight="1">
      <c r="A859" s="34"/>
      <c r="B859" s="77"/>
    </row>
    <row r="860" ht="15.75" customHeight="1">
      <c r="A860" s="34"/>
      <c r="B860" s="77"/>
    </row>
    <row r="861" ht="15.75" customHeight="1">
      <c r="A861" s="34"/>
      <c r="B861" s="77"/>
    </row>
    <row r="862" ht="15.75" customHeight="1">
      <c r="A862" s="34"/>
      <c r="B862" s="77"/>
    </row>
    <row r="863" ht="15.75" customHeight="1">
      <c r="A863" s="34"/>
      <c r="B863" s="77"/>
    </row>
    <row r="864" ht="15.75" customHeight="1">
      <c r="A864" s="34"/>
      <c r="B864" s="77"/>
    </row>
    <row r="865" ht="15.75" customHeight="1">
      <c r="A865" s="34"/>
      <c r="B865" s="77"/>
    </row>
    <row r="866" ht="15.75" customHeight="1">
      <c r="A866" s="34"/>
      <c r="B866" s="77"/>
    </row>
    <row r="867" ht="15.75" customHeight="1">
      <c r="A867" s="34"/>
      <c r="B867" s="77"/>
    </row>
    <row r="868" ht="15.75" customHeight="1">
      <c r="A868" s="34"/>
      <c r="B868" s="77"/>
    </row>
    <row r="869" ht="15.75" customHeight="1">
      <c r="A869" s="34"/>
      <c r="B869" s="77"/>
    </row>
    <row r="870" ht="15.75" customHeight="1">
      <c r="A870" s="34"/>
      <c r="B870" s="77"/>
    </row>
    <row r="871" ht="15.75" customHeight="1">
      <c r="A871" s="34"/>
      <c r="B871" s="77"/>
    </row>
    <row r="872" ht="15.75" customHeight="1">
      <c r="A872" s="34"/>
      <c r="B872" s="77"/>
    </row>
    <row r="873" ht="15.75" customHeight="1">
      <c r="A873" s="34"/>
      <c r="B873" s="77"/>
    </row>
    <row r="874" ht="15.75" customHeight="1">
      <c r="A874" s="34"/>
      <c r="B874" s="77"/>
    </row>
    <row r="875" ht="15.75" customHeight="1">
      <c r="A875" s="34"/>
      <c r="B875" s="77"/>
    </row>
    <row r="876" ht="15.75" customHeight="1">
      <c r="A876" s="34"/>
      <c r="B876" s="77"/>
    </row>
    <row r="877" ht="15.75" customHeight="1">
      <c r="A877" s="34"/>
      <c r="B877" s="77"/>
    </row>
    <row r="878" ht="15.75" customHeight="1">
      <c r="A878" s="34"/>
      <c r="B878" s="77"/>
    </row>
    <row r="879" ht="15.75" customHeight="1">
      <c r="A879" s="34"/>
      <c r="B879" s="77"/>
    </row>
    <row r="880" ht="15.75" customHeight="1">
      <c r="A880" s="34"/>
      <c r="B880" s="77"/>
    </row>
    <row r="881" ht="15.75" customHeight="1">
      <c r="A881" s="34"/>
      <c r="B881" s="77"/>
    </row>
    <row r="882" ht="15.75" customHeight="1">
      <c r="A882" s="34"/>
      <c r="B882" s="77"/>
    </row>
    <row r="883" ht="15.75" customHeight="1">
      <c r="A883" s="34"/>
      <c r="B883" s="77"/>
    </row>
    <row r="884" ht="15.75" customHeight="1">
      <c r="A884" s="34"/>
      <c r="B884" s="77"/>
    </row>
    <row r="885" ht="15.75" customHeight="1">
      <c r="A885" s="34"/>
      <c r="B885" s="77"/>
    </row>
    <row r="886" ht="15.75" customHeight="1">
      <c r="A886" s="34"/>
      <c r="B886" s="77"/>
    </row>
    <row r="887" ht="15.75" customHeight="1">
      <c r="A887" s="34"/>
      <c r="B887" s="77"/>
    </row>
    <row r="888" ht="15.75" customHeight="1">
      <c r="A888" s="34"/>
      <c r="B888" s="77"/>
    </row>
    <row r="889" ht="15.75" customHeight="1">
      <c r="A889" s="34"/>
      <c r="B889" s="77"/>
    </row>
    <row r="890" ht="15.75" customHeight="1">
      <c r="A890" s="34"/>
      <c r="B890" s="77"/>
    </row>
    <row r="891" ht="15.75" customHeight="1">
      <c r="A891" s="34"/>
      <c r="B891" s="77"/>
    </row>
    <row r="892" ht="15.75" customHeight="1">
      <c r="A892" s="34"/>
      <c r="B892" s="77"/>
    </row>
    <row r="893" ht="15.75" customHeight="1">
      <c r="A893" s="34"/>
      <c r="B893" s="77"/>
    </row>
    <row r="894" ht="15.75" customHeight="1">
      <c r="A894" s="34"/>
      <c r="B894" s="77"/>
    </row>
    <row r="895" ht="15.75" customHeight="1">
      <c r="A895" s="34"/>
      <c r="B895" s="77"/>
    </row>
    <row r="896" ht="15.75" customHeight="1">
      <c r="A896" s="34"/>
      <c r="B896" s="77"/>
    </row>
    <row r="897" ht="15.75" customHeight="1">
      <c r="A897" s="34"/>
      <c r="B897" s="77"/>
    </row>
    <row r="898" ht="15.75" customHeight="1">
      <c r="A898" s="34"/>
      <c r="B898" s="77"/>
    </row>
    <row r="899" ht="15.75" customHeight="1">
      <c r="A899" s="34"/>
      <c r="B899" s="77"/>
    </row>
    <row r="900" ht="15.75" customHeight="1">
      <c r="A900" s="34"/>
      <c r="B900" s="77"/>
    </row>
    <row r="901" ht="15.75" customHeight="1">
      <c r="A901" s="34"/>
      <c r="B901" s="77"/>
    </row>
    <row r="902" ht="15.75" customHeight="1">
      <c r="A902" s="34"/>
      <c r="B902" s="77"/>
    </row>
    <row r="903" ht="15.75" customHeight="1">
      <c r="A903" s="34"/>
      <c r="B903" s="77"/>
    </row>
    <row r="904" ht="15.75" customHeight="1">
      <c r="A904" s="34"/>
      <c r="B904" s="77"/>
    </row>
    <row r="905" ht="15.75" customHeight="1">
      <c r="A905" s="34"/>
      <c r="B905" s="77"/>
    </row>
    <row r="906" ht="15.75" customHeight="1">
      <c r="A906" s="34"/>
      <c r="B906" s="77"/>
    </row>
    <row r="907" ht="15.75" customHeight="1">
      <c r="A907" s="34"/>
      <c r="B907" s="77"/>
    </row>
    <row r="908" ht="15.75" customHeight="1">
      <c r="A908" s="34"/>
      <c r="B908" s="77"/>
    </row>
    <row r="909" ht="15.75" customHeight="1">
      <c r="A909" s="34"/>
      <c r="B909" s="77"/>
    </row>
    <row r="910" ht="15.75" customHeight="1">
      <c r="A910" s="34"/>
      <c r="B910" s="77"/>
    </row>
    <row r="911" ht="15.75" customHeight="1">
      <c r="A911" s="34"/>
      <c r="B911" s="77"/>
    </row>
    <row r="912" ht="15.75" customHeight="1">
      <c r="A912" s="34"/>
      <c r="B912" s="77"/>
    </row>
    <row r="913" ht="15.75" customHeight="1">
      <c r="A913" s="34"/>
      <c r="B913" s="77"/>
    </row>
    <row r="914" ht="15.75" customHeight="1">
      <c r="A914" s="34"/>
      <c r="B914" s="77"/>
    </row>
    <row r="915" ht="15.75" customHeight="1">
      <c r="A915" s="34"/>
      <c r="B915" s="77"/>
    </row>
    <row r="916" ht="15.75" customHeight="1">
      <c r="A916" s="34"/>
      <c r="B916" s="77"/>
    </row>
    <row r="917" ht="15.75" customHeight="1">
      <c r="A917" s="34"/>
      <c r="B917" s="77"/>
    </row>
    <row r="918" ht="15.75" customHeight="1">
      <c r="A918" s="34"/>
      <c r="B918" s="77"/>
    </row>
    <row r="919" ht="15.75" customHeight="1">
      <c r="A919" s="34"/>
      <c r="B919" s="77"/>
    </row>
    <row r="920" ht="15.75" customHeight="1">
      <c r="A920" s="34"/>
      <c r="B920" s="77"/>
    </row>
    <row r="921" ht="15.75" customHeight="1">
      <c r="A921" s="34"/>
      <c r="B921" s="77"/>
    </row>
    <row r="922" ht="15.75" customHeight="1">
      <c r="A922" s="34"/>
      <c r="B922" s="77"/>
    </row>
    <row r="923" ht="15.75" customHeight="1">
      <c r="A923" s="34"/>
      <c r="B923" s="77"/>
    </row>
    <row r="924" ht="15.75" customHeight="1">
      <c r="A924" s="34"/>
      <c r="B924" s="77"/>
    </row>
    <row r="925" ht="15.75" customHeight="1">
      <c r="A925" s="34"/>
      <c r="B925" s="77"/>
    </row>
    <row r="926" ht="15.75" customHeight="1">
      <c r="A926" s="34"/>
      <c r="B926" s="77"/>
    </row>
    <row r="927" ht="15.75" customHeight="1">
      <c r="A927" s="34"/>
      <c r="B927" s="77"/>
    </row>
    <row r="928" ht="15.75" customHeight="1">
      <c r="A928" s="34"/>
      <c r="B928" s="77"/>
    </row>
    <row r="929" ht="15.75" customHeight="1">
      <c r="A929" s="34"/>
      <c r="B929" s="77"/>
    </row>
    <row r="930" ht="15.75" customHeight="1">
      <c r="A930" s="34"/>
      <c r="B930" s="77"/>
    </row>
    <row r="931" ht="15.75" customHeight="1">
      <c r="A931" s="34"/>
      <c r="B931" s="77"/>
    </row>
    <row r="932" ht="15.75" customHeight="1">
      <c r="A932" s="34"/>
      <c r="B932" s="77"/>
    </row>
    <row r="933" ht="15.75" customHeight="1">
      <c r="A933" s="34"/>
      <c r="B933" s="77"/>
    </row>
    <row r="934" ht="15.75" customHeight="1">
      <c r="A934" s="34"/>
      <c r="B934" s="77"/>
    </row>
    <row r="935" ht="15.75" customHeight="1">
      <c r="A935" s="34"/>
      <c r="B935" s="77"/>
    </row>
    <row r="936" ht="15.75" customHeight="1">
      <c r="A936" s="34"/>
      <c r="B936" s="77"/>
    </row>
    <row r="937" ht="15.75" customHeight="1">
      <c r="A937" s="34"/>
      <c r="B937" s="77"/>
    </row>
    <row r="938" ht="15.75" customHeight="1">
      <c r="A938" s="34"/>
      <c r="B938" s="77"/>
    </row>
    <row r="939" ht="15.75" customHeight="1">
      <c r="A939" s="34"/>
      <c r="B939" s="77"/>
    </row>
    <row r="940" ht="15.75" customHeight="1">
      <c r="A940" s="34"/>
      <c r="B940" s="77"/>
    </row>
    <row r="941" ht="15.75" customHeight="1">
      <c r="A941" s="34"/>
      <c r="B941" s="77"/>
    </row>
    <row r="942" ht="15.75" customHeight="1">
      <c r="A942" s="34"/>
      <c r="B942" s="77"/>
    </row>
    <row r="943" ht="15.75" customHeight="1">
      <c r="A943" s="34"/>
      <c r="B943" s="77"/>
    </row>
    <row r="944" ht="15.75" customHeight="1">
      <c r="A944" s="34"/>
      <c r="B944" s="77"/>
    </row>
    <row r="945" ht="15.75" customHeight="1">
      <c r="A945" s="34"/>
      <c r="B945" s="77"/>
    </row>
    <row r="946" ht="15.75" customHeight="1">
      <c r="A946" s="34"/>
      <c r="B946" s="77"/>
    </row>
    <row r="947" ht="15.75" customHeight="1">
      <c r="A947" s="34"/>
      <c r="B947" s="77"/>
    </row>
    <row r="948" ht="15.75" customHeight="1">
      <c r="A948" s="34"/>
      <c r="B948" s="77"/>
    </row>
    <row r="949" ht="15.75" customHeight="1">
      <c r="A949" s="34"/>
      <c r="B949" s="77"/>
    </row>
    <row r="950" ht="15.75" customHeight="1">
      <c r="A950" s="34"/>
      <c r="B950" s="77"/>
    </row>
    <row r="951" ht="15.75" customHeight="1">
      <c r="A951" s="34"/>
      <c r="B951" s="77"/>
    </row>
    <row r="952" ht="15.75" customHeight="1">
      <c r="A952" s="34"/>
      <c r="B952" s="77"/>
    </row>
    <row r="953" ht="15.75" customHeight="1">
      <c r="A953" s="34"/>
      <c r="B953" s="77"/>
    </row>
    <row r="954" ht="15.75" customHeight="1">
      <c r="A954" s="34"/>
      <c r="B954" s="77"/>
    </row>
    <row r="955" ht="15.75" customHeight="1">
      <c r="A955" s="34"/>
      <c r="B955" s="77"/>
    </row>
    <row r="956" ht="15.75" customHeight="1">
      <c r="A956" s="34"/>
      <c r="B956" s="77"/>
    </row>
    <row r="957" ht="15.75" customHeight="1">
      <c r="A957" s="34"/>
      <c r="B957" s="77"/>
    </row>
    <row r="958" ht="15.75" customHeight="1">
      <c r="A958" s="34"/>
      <c r="B958" s="77"/>
    </row>
    <row r="959" ht="15.75" customHeight="1">
      <c r="A959" s="34"/>
      <c r="B959" s="77"/>
    </row>
    <row r="960" ht="15.75" customHeight="1">
      <c r="A960" s="34"/>
      <c r="B960" s="77"/>
    </row>
    <row r="961" ht="15.75" customHeight="1">
      <c r="A961" s="34"/>
      <c r="B961" s="77"/>
    </row>
    <row r="962" ht="15.75" customHeight="1">
      <c r="A962" s="34"/>
      <c r="B962" s="77"/>
    </row>
    <row r="963" ht="15.75" customHeight="1">
      <c r="A963" s="34"/>
      <c r="B963" s="77"/>
    </row>
    <row r="964" ht="15.75" customHeight="1">
      <c r="A964" s="34"/>
      <c r="B964" s="77"/>
    </row>
    <row r="965" ht="15.75" customHeight="1">
      <c r="A965" s="34"/>
      <c r="B965" s="77"/>
    </row>
    <row r="966" ht="15.75" customHeight="1">
      <c r="A966" s="34"/>
      <c r="B966" s="77"/>
    </row>
    <row r="967" ht="15.75" customHeight="1">
      <c r="A967" s="34"/>
      <c r="B967" s="77"/>
    </row>
    <row r="968" ht="15.75" customHeight="1">
      <c r="A968" s="34"/>
      <c r="B968" s="77"/>
    </row>
    <row r="969" ht="15.75" customHeight="1">
      <c r="A969" s="34"/>
      <c r="B969" s="77"/>
    </row>
    <row r="970" ht="15.75" customHeight="1">
      <c r="A970" s="34"/>
      <c r="B970" s="77"/>
    </row>
    <row r="971" ht="15.75" customHeight="1">
      <c r="A971" s="34"/>
      <c r="B971" s="77"/>
    </row>
    <row r="972" ht="15.75" customHeight="1">
      <c r="A972" s="34"/>
      <c r="B972" s="77"/>
    </row>
    <row r="973" ht="15.75" customHeight="1">
      <c r="A973" s="34"/>
      <c r="B973" s="77"/>
    </row>
    <row r="974" ht="15.75" customHeight="1">
      <c r="A974" s="34"/>
      <c r="B974" s="77"/>
    </row>
    <row r="975" ht="15.75" customHeight="1">
      <c r="A975" s="34"/>
      <c r="B975" s="77"/>
    </row>
    <row r="976" ht="15.75" customHeight="1">
      <c r="A976" s="34"/>
      <c r="B976" s="77"/>
    </row>
    <row r="977" ht="15.75" customHeight="1">
      <c r="A977" s="34"/>
      <c r="B977" s="77"/>
    </row>
    <row r="978" ht="15.75" customHeight="1">
      <c r="A978" s="34"/>
      <c r="B978" s="77"/>
    </row>
    <row r="979" ht="15.75" customHeight="1">
      <c r="A979" s="34"/>
      <c r="B979" s="77"/>
    </row>
    <row r="980" ht="15.75" customHeight="1">
      <c r="A980" s="34"/>
      <c r="B980" s="77"/>
    </row>
    <row r="981" ht="15.75" customHeight="1">
      <c r="A981" s="34"/>
      <c r="B981" s="77"/>
    </row>
    <row r="982" ht="15.75" customHeight="1">
      <c r="A982" s="34"/>
      <c r="B982" s="77"/>
    </row>
    <row r="983" ht="15.75" customHeight="1">
      <c r="A983" s="34"/>
      <c r="B983" s="77"/>
    </row>
    <row r="984" ht="15.75" customHeight="1">
      <c r="A984" s="34"/>
      <c r="B984" s="77"/>
    </row>
    <row r="985" ht="15.75" customHeight="1">
      <c r="A985" s="34"/>
      <c r="B985" s="77"/>
    </row>
    <row r="986" ht="15.75" customHeight="1">
      <c r="A986" s="34"/>
      <c r="B986" s="77"/>
    </row>
    <row r="987" ht="15.75" customHeight="1">
      <c r="A987" s="34"/>
      <c r="B987" s="77"/>
    </row>
    <row r="988" ht="15.75" customHeight="1">
      <c r="A988" s="34"/>
      <c r="B988" s="77"/>
    </row>
    <row r="989" ht="15.75" customHeight="1">
      <c r="A989" s="34"/>
      <c r="B989" s="77"/>
    </row>
    <row r="990" ht="15.75" customHeight="1">
      <c r="A990" s="34"/>
      <c r="B990" s="77"/>
    </row>
    <row r="991" ht="15.75" customHeight="1">
      <c r="A991" s="34"/>
      <c r="B991" s="77"/>
    </row>
    <row r="992" ht="15.75" customHeight="1">
      <c r="A992" s="34"/>
      <c r="B992" s="77"/>
    </row>
    <row r="993" ht="15.75" customHeight="1">
      <c r="A993" s="34"/>
      <c r="B993" s="77"/>
    </row>
    <row r="994" ht="15.75" customHeight="1">
      <c r="A994" s="34"/>
      <c r="B994" s="77"/>
    </row>
    <row r="995" ht="15.75" customHeight="1">
      <c r="A995" s="34"/>
      <c r="B995" s="77"/>
    </row>
    <row r="996" ht="15.75" customHeight="1">
      <c r="A996" s="34"/>
      <c r="B996" s="77"/>
    </row>
    <row r="997" ht="15.75" customHeight="1">
      <c r="A997" s="34"/>
      <c r="B997" s="77"/>
    </row>
    <row r="998" ht="15.75" customHeight="1">
      <c r="A998" s="34"/>
      <c r="B998" s="77"/>
    </row>
    <row r="999" ht="15.75" customHeight="1">
      <c r="A999" s="34"/>
      <c r="B999" s="77"/>
    </row>
    <row r="1000" ht="15.75" customHeight="1">
      <c r="A1000" s="34"/>
      <c r="B1000" s="77"/>
    </row>
    <row r="1001" ht="15.75" customHeight="1">
      <c r="A1001" s="34"/>
      <c r="B1001" s="77"/>
    </row>
    <row r="1002" ht="15.75" customHeight="1">
      <c r="A1002" s="34"/>
      <c r="B1002" s="77"/>
    </row>
  </sheetData>
  <mergeCells count="4">
    <mergeCell ref="B18:K18"/>
    <mergeCell ref="A22:Q22"/>
    <mergeCell ref="A24:I24"/>
    <mergeCell ref="A20:F20"/>
  </mergeCells>
  <hyperlinks>
    <hyperlink r:id="rId1" ref="B18"/>
    <hyperlink r:id="rId2" ref="A22"/>
    <hyperlink r:id="rId3" ref="A24"/>
  </hyperlinks>
  <printOptions/>
  <pageMargins bottom="0.75" footer="0.0" header="0.0" left="0.7" right="0.7" top="0.75"/>
  <pageSetup orientation="portrait"/>
  <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86"/>
    <col customWidth="1" min="2" max="28" width="8.71"/>
  </cols>
  <sheetData>
    <row r="1">
      <c r="A1" s="1" t="s">
        <v>155</v>
      </c>
      <c r="B1" s="2">
        <v>44879.0</v>
      </c>
      <c r="C1" s="3">
        <v>44880.0</v>
      </c>
      <c r="D1" s="3">
        <v>44881.0</v>
      </c>
      <c r="E1" s="3">
        <v>44882.0</v>
      </c>
      <c r="F1" s="3">
        <v>44883.0</v>
      </c>
      <c r="G1" s="6" t="s">
        <v>156</v>
      </c>
      <c r="H1" s="5">
        <v>44886.0</v>
      </c>
      <c r="I1" s="40" t="s">
        <v>157</v>
      </c>
      <c r="J1" s="5">
        <v>44887.0</v>
      </c>
      <c r="K1" s="6" t="s">
        <v>158</v>
      </c>
      <c r="L1" s="5">
        <v>44888.0</v>
      </c>
      <c r="M1" s="5">
        <v>44889.0</v>
      </c>
      <c r="N1" s="5">
        <v>44893.0</v>
      </c>
      <c r="O1" s="6" t="s">
        <v>159</v>
      </c>
      <c r="P1" s="5">
        <v>44894.0</v>
      </c>
      <c r="Q1" s="6" t="s">
        <v>160</v>
      </c>
      <c r="R1" s="40" t="s">
        <v>161</v>
      </c>
      <c r="S1" s="7">
        <v>44896.0</v>
      </c>
      <c r="T1" s="7">
        <v>44897.0</v>
      </c>
      <c r="U1" s="6" t="s">
        <v>162</v>
      </c>
      <c r="V1" s="7">
        <v>44900.0</v>
      </c>
      <c r="W1" s="7">
        <v>44901.0</v>
      </c>
      <c r="X1" s="6" t="s">
        <v>163</v>
      </c>
      <c r="Y1" s="7">
        <v>44902.0</v>
      </c>
      <c r="Z1" s="7">
        <v>44903.0</v>
      </c>
      <c r="AA1" s="7">
        <v>44904.0</v>
      </c>
      <c r="AB1" s="8"/>
    </row>
    <row r="2">
      <c r="A2" s="14" t="s">
        <v>164</v>
      </c>
      <c r="B2" s="15">
        <v>127206.0</v>
      </c>
      <c r="C2" s="16">
        <v>135046.0</v>
      </c>
      <c r="D2" s="16">
        <v>137969.0</v>
      </c>
      <c r="E2" s="17">
        <v>149860.0</v>
      </c>
      <c r="F2" s="17">
        <v>151276.0</v>
      </c>
      <c r="G2" s="17">
        <v>151950.0</v>
      </c>
      <c r="H2" s="17">
        <v>151950.0</v>
      </c>
      <c r="I2" s="17">
        <v>151950.0</v>
      </c>
      <c r="J2" s="17">
        <v>152292.0</v>
      </c>
      <c r="K2" s="17">
        <v>152292.0</v>
      </c>
      <c r="L2" s="17">
        <v>152336.0</v>
      </c>
      <c r="M2" s="17">
        <v>152807.0</v>
      </c>
      <c r="N2" s="17">
        <v>152829.0</v>
      </c>
      <c r="O2" s="17">
        <v>152829.0</v>
      </c>
      <c r="P2" s="17">
        <v>152983.0</v>
      </c>
      <c r="Q2" s="17">
        <v>153160.0</v>
      </c>
      <c r="R2" s="17">
        <v>153160.0</v>
      </c>
      <c r="S2" s="17">
        <v>153179.0</v>
      </c>
      <c r="T2" s="17">
        <v>153370.0</v>
      </c>
      <c r="U2" s="17">
        <v>153370.0</v>
      </c>
      <c r="V2" s="17">
        <v>153370.0</v>
      </c>
      <c r="W2" s="17">
        <v>153370.0</v>
      </c>
      <c r="X2" s="17">
        <v>153370.0</v>
      </c>
      <c r="Y2" s="17">
        <v>153521.0</v>
      </c>
      <c r="Z2" s="17">
        <v>153521.0</v>
      </c>
      <c r="AA2" s="17">
        <v>153541.0</v>
      </c>
      <c r="AB2" s="43"/>
    </row>
    <row r="3">
      <c r="A3" s="9" t="s">
        <v>165</v>
      </c>
      <c r="B3" s="10">
        <v>114698.0</v>
      </c>
      <c r="C3" s="11">
        <v>122250.0</v>
      </c>
      <c r="D3" s="11">
        <v>125950.0</v>
      </c>
      <c r="E3" s="12">
        <v>135229.0</v>
      </c>
      <c r="F3" s="12">
        <v>136493.0</v>
      </c>
      <c r="G3" s="12">
        <v>136882.0</v>
      </c>
      <c r="H3" s="12">
        <v>136882.0</v>
      </c>
      <c r="I3" s="12">
        <v>136882.0</v>
      </c>
      <c r="J3" s="12">
        <v>137259.0</v>
      </c>
      <c r="K3" s="12">
        <v>137259.0</v>
      </c>
      <c r="L3" s="12">
        <v>137318.0</v>
      </c>
      <c r="M3" s="12">
        <v>137631.0</v>
      </c>
      <c r="N3" s="12">
        <v>137645.0</v>
      </c>
      <c r="O3" s="12">
        <v>137645.0</v>
      </c>
      <c r="P3" s="12">
        <v>137804.0</v>
      </c>
      <c r="Q3" s="12">
        <v>137954.0</v>
      </c>
      <c r="R3" s="12">
        <v>137954.0</v>
      </c>
      <c r="S3" s="12">
        <v>137966.0</v>
      </c>
      <c r="T3" s="12">
        <v>138089.0</v>
      </c>
      <c r="U3" s="12">
        <v>138089.0</v>
      </c>
      <c r="V3" s="12">
        <v>138089.0</v>
      </c>
      <c r="W3" s="12">
        <v>138089.0</v>
      </c>
      <c r="X3" s="12">
        <v>138089.0</v>
      </c>
      <c r="Y3" s="12">
        <v>138189.0</v>
      </c>
      <c r="Z3" s="12">
        <v>138189.0</v>
      </c>
      <c r="AA3" s="12">
        <v>138194.0</v>
      </c>
      <c r="AB3" s="42"/>
    </row>
    <row r="4">
      <c r="A4" s="20" t="s">
        <v>11</v>
      </c>
      <c r="B4" s="21">
        <f t="shared" ref="B4:AA4" si="1">B2-B3</f>
        <v>12508</v>
      </c>
      <c r="C4" s="21">
        <f t="shared" si="1"/>
        <v>12796</v>
      </c>
      <c r="D4" s="21">
        <f t="shared" si="1"/>
        <v>12019</v>
      </c>
      <c r="E4" s="21">
        <f t="shared" si="1"/>
        <v>14631</v>
      </c>
      <c r="F4" s="21">
        <f t="shared" si="1"/>
        <v>14783</v>
      </c>
      <c r="G4" s="21">
        <f t="shared" si="1"/>
        <v>15068</v>
      </c>
      <c r="H4" s="21">
        <f t="shared" si="1"/>
        <v>15068</v>
      </c>
      <c r="I4" s="21">
        <f t="shared" si="1"/>
        <v>15068</v>
      </c>
      <c r="J4" s="21">
        <f t="shared" si="1"/>
        <v>15033</v>
      </c>
      <c r="K4" s="21">
        <f t="shared" si="1"/>
        <v>15033</v>
      </c>
      <c r="L4" s="21">
        <f t="shared" si="1"/>
        <v>15018</v>
      </c>
      <c r="M4" s="21">
        <f t="shared" si="1"/>
        <v>15176</v>
      </c>
      <c r="N4" s="21">
        <f t="shared" si="1"/>
        <v>15184</v>
      </c>
      <c r="O4" s="21">
        <f t="shared" si="1"/>
        <v>15184</v>
      </c>
      <c r="P4" s="21">
        <f t="shared" si="1"/>
        <v>15179</v>
      </c>
      <c r="Q4" s="21">
        <f t="shared" si="1"/>
        <v>15206</v>
      </c>
      <c r="R4" s="21">
        <f t="shared" si="1"/>
        <v>15206</v>
      </c>
      <c r="S4" s="21">
        <f t="shared" si="1"/>
        <v>15213</v>
      </c>
      <c r="T4" s="21">
        <f t="shared" si="1"/>
        <v>15281</v>
      </c>
      <c r="U4" s="21">
        <f t="shared" si="1"/>
        <v>15281</v>
      </c>
      <c r="V4" s="21">
        <f t="shared" si="1"/>
        <v>15281</v>
      </c>
      <c r="W4" s="21">
        <f t="shared" si="1"/>
        <v>15281</v>
      </c>
      <c r="X4" s="21">
        <f t="shared" si="1"/>
        <v>15281</v>
      </c>
      <c r="Y4" s="21">
        <f t="shared" si="1"/>
        <v>15332</v>
      </c>
      <c r="Z4" s="21">
        <f t="shared" si="1"/>
        <v>15332</v>
      </c>
      <c r="AA4" s="21">
        <f t="shared" si="1"/>
        <v>15347</v>
      </c>
    </row>
    <row r="5">
      <c r="A5" s="20" t="s">
        <v>12</v>
      </c>
      <c r="B5" s="23">
        <f t="shared" ref="B5:AA5" si="2">B4/sum(B2:B3)</f>
        <v>0.05170646207</v>
      </c>
      <c r="C5" s="23">
        <f t="shared" si="2"/>
        <v>0.04973260369</v>
      </c>
      <c r="D5" s="23">
        <f t="shared" si="2"/>
        <v>0.0455404878</v>
      </c>
      <c r="E5" s="23">
        <f t="shared" si="2"/>
        <v>0.0513208156</v>
      </c>
      <c r="F5" s="23">
        <f t="shared" si="2"/>
        <v>0.05137106499</v>
      </c>
      <c r="G5" s="23">
        <f t="shared" si="2"/>
        <v>0.05216873477</v>
      </c>
      <c r="H5" s="23">
        <f t="shared" si="2"/>
        <v>0.05216873477</v>
      </c>
      <c r="I5" s="23">
        <f t="shared" si="2"/>
        <v>0.05216873477</v>
      </c>
      <c r="J5" s="23">
        <f t="shared" si="2"/>
        <v>0.05191831491</v>
      </c>
      <c r="K5" s="23">
        <f t="shared" si="2"/>
        <v>0.05191831491</v>
      </c>
      <c r="L5" s="23">
        <f t="shared" si="2"/>
        <v>0.051848067</v>
      </c>
      <c r="M5" s="23">
        <f t="shared" si="2"/>
        <v>0.05225211577</v>
      </c>
      <c r="N5" s="23">
        <f t="shared" si="2"/>
        <v>0.05227318108</v>
      </c>
      <c r="O5" s="23">
        <f t="shared" si="2"/>
        <v>0.05227318108</v>
      </c>
      <c r="P5" s="23">
        <f t="shared" si="2"/>
        <v>0.05219972007</v>
      </c>
      <c r="Q5" s="23">
        <f t="shared" si="2"/>
        <v>0.05223383279</v>
      </c>
      <c r="R5" s="23">
        <f t="shared" si="2"/>
        <v>0.05223383279</v>
      </c>
      <c r="S5" s="23">
        <f t="shared" si="2"/>
        <v>0.05225231414</v>
      </c>
      <c r="T5" s="23">
        <f t="shared" si="2"/>
        <v>0.05242932968</v>
      </c>
      <c r="U5" s="23">
        <f t="shared" si="2"/>
        <v>0.05242932968</v>
      </c>
      <c r="V5" s="23">
        <f t="shared" si="2"/>
        <v>0.05242932968</v>
      </c>
      <c r="W5" s="23">
        <f t="shared" si="2"/>
        <v>0.05242932968</v>
      </c>
      <c r="X5" s="23">
        <f t="shared" si="2"/>
        <v>0.05242932968</v>
      </c>
      <c r="Y5" s="23">
        <f t="shared" si="2"/>
        <v>0.05255904837</v>
      </c>
      <c r="Z5" s="23">
        <f t="shared" si="2"/>
        <v>0.05255904837</v>
      </c>
      <c r="AA5" s="23">
        <f t="shared" si="2"/>
        <v>0.05260596089</v>
      </c>
    </row>
    <row r="6">
      <c r="A6" s="24" t="s">
        <v>13</v>
      </c>
      <c r="B6" s="25">
        <f t="shared" ref="B6:P6" si="3">SUM(B7:B8)</f>
        <v>404181</v>
      </c>
      <c r="C6" s="25">
        <f t="shared" si="3"/>
        <v>256541</v>
      </c>
      <c r="D6" s="25">
        <f t="shared" si="3"/>
        <v>196760</v>
      </c>
      <c r="E6" s="25">
        <f t="shared" si="3"/>
        <v>74759</v>
      </c>
      <c r="F6" s="25">
        <f t="shared" si="3"/>
        <v>41204</v>
      </c>
      <c r="G6" s="21">
        <f t="shared" si="3"/>
        <v>34197</v>
      </c>
      <c r="H6" s="21">
        <f t="shared" si="3"/>
        <v>34197</v>
      </c>
      <c r="I6" s="21">
        <f t="shared" si="3"/>
        <v>34197</v>
      </c>
      <c r="J6" s="21">
        <f t="shared" si="3"/>
        <v>25491</v>
      </c>
      <c r="K6" s="21">
        <f t="shared" si="3"/>
        <v>25491</v>
      </c>
      <c r="L6" s="21">
        <f t="shared" si="3"/>
        <v>24485</v>
      </c>
      <c r="M6" s="21">
        <f t="shared" si="3"/>
        <v>19812</v>
      </c>
      <c r="N6" s="21">
        <f t="shared" si="3"/>
        <v>19413</v>
      </c>
      <c r="O6" s="21">
        <f t="shared" si="3"/>
        <v>19413</v>
      </c>
      <c r="P6" s="21">
        <f t="shared" si="3"/>
        <v>15388</v>
      </c>
      <c r="Q6" s="81">
        <v>11690.0</v>
      </c>
      <c r="R6" s="81">
        <v>11690.0</v>
      </c>
      <c r="S6" s="81">
        <v>11398.0</v>
      </c>
      <c r="T6" s="21">
        <f t="shared" ref="T6:AA6" si="4">SUM(T7:T8)</f>
        <v>5900</v>
      </c>
      <c r="U6" s="21">
        <f t="shared" si="4"/>
        <v>5800</v>
      </c>
      <c r="V6" s="21">
        <f t="shared" si="4"/>
        <v>5800</v>
      </c>
      <c r="W6" s="21">
        <f t="shared" si="4"/>
        <v>5800</v>
      </c>
      <c r="X6" s="21">
        <f t="shared" si="4"/>
        <v>5800</v>
      </c>
      <c r="Y6" s="21">
        <f t="shared" si="4"/>
        <v>4600</v>
      </c>
      <c r="Z6" s="21">
        <f t="shared" si="4"/>
        <v>4600</v>
      </c>
      <c r="AA6" s="21">
        <f t="shared" si="4"/>
        <v>0</v>
      </c>
    </row>
    <row r="7">
      <c r="A7" s="26" t="s">
        <v>134</v>
      </c>
      <c r="B7" s="27">
        <v>239181.0</v>
      </c>
      <c r="C7" s="27">
        <v>176541.0</v>
      </c>
      <c r="D7" s="32">
        <v>116760.0</v>
      </c>
      <c r="E7" s="31">
        <v>59759.0</v>
      </c>
      <c r="F7" s="31">
        <v>26204.0</v>
      </c>
      <c r="G7" s="31">
        <v>23197.0</v>
      </c>
      <c r="H7" s="31">
        <v>23197.0</v>
      </c>
      <c r="I7" s="31">
        <v>23197.0</v>
      </c>
      <c r="J7" s="31">
        <v>14491.0</v>
      </c>
      <c r="K7" s="31">
        <v>14491.0</v>
      </c>
      <c r="L7" s="31">
        <v>13485.0</v>
      </c>
      <c r="M7" s="31">
        <v>11112.0</v>
      </c>
      <c r="N7" s="31">
        <v>10713.0</v>
      </c>
      <c r="O7" s="31">
        <v>10713.0</v>
      </c>
      <c r="P7" s="31">
        <v>6688.0</v>
      </c>
      <c r="Q7" s="31">
        <v>4690.0</v>
      </c>
      <c r="R7" s="31">
        <v>4690.0</v>
      </c>
      <c r="S7" s="31">
        <v>4398.0</v>
      </c>
      <c r="T7" s="30">
        <v>100.0</v>
      </c>
      <c r="U7" s="30">
        <v>0.0</v>
      </c>
      <c r="V7" s="30">
        <v>0.0</v>
      </c>
      <c r="W7" s="30">
        <v>0.0</v>
      </c>
      <c r="X7" s="30">
        <v>0.0</v>
      </c>
      <c r="Y7" s="30">
        <v>0.0</v>
      </c>
      <c r="Z7" s="30">
        <v>0.0</v>
      </c>
      <c r="AA7" s="30">
        <v>0.0</v>
      </c>
    </row>
    <row r="8">
      <c r="A8" s="26" t="s">
        <v>166</v>
      </c>
      <c r="B8" s="27">
        <v>165000.0</v>
      </c>
      <c r="C8" s="32">
        <v>80000.0</v>
      </c>
      <c r="D8" s="32">
        <v>80000.0</v>
      </c>
      <c r="E8" s="31">
        <v>15000.0</v>
      </c>
      <c r="F8" s="31">
        <v>15000.0</v>
      </c>
      <c r="G8" s="31">
        <v>11000.0</v>
      </c>
      <c r="H8" s="31">
        <v>11000.0</v>
      </c>
      <c r="I8" s="31">
        <v>11000.0</v>
      </c>
      <c r="J8" s="31">
        <v>11000.0</v>
      </c>
      <c r="K8" s="31">
        <v>11000.0</v>
      </c>
      <c r="L8" s="31">
        <v>11000.0</v>
      </c>
      <c r="M8" s="31">
        <v>8700.0</v>
      </c>
      <c r="N8" s="31">
        <v>8700.0</v>
      </c>
      <c r="O8" s="31">
        <v>8700.0</v>
      </c>
      <c r="P8" s="31">
        <v>8700.0</v>
      </c>
      <c r="Q8" s="74" t="s">
        <v>167</v>
      </c>
      <c r="R8" s="74" t="s">
        <v>167</v>
      </c>
      <c r="S8" s="74" t="s">
        <v>167</v>
      </c>
      <c r="T8" s="31">
        <v>5800.0</v>
      </c>
      <c r="U8" s="31">
        <v>5800.0</v>
      </c>
      <c r="V8" s="31">
        <v>5800.0</v>
      </c>
      <c r="W8" s="31">
        <v>5800.0</v>
      </c>
      <c r="X8" s="31">
        <v>5800.0</v>
      </c>
      <c r="Y8" s="31">
        <v>4600.0</v>
      </c>
      <c r="Z8" s="31">
        <v>4600.0</v>
      </c>
      <c r="AA8" s="30">
        <v>0.0</v>
      </c>
    </row>
    <row r="9">
      <c r="A9" s="34"/>
    </row>
    <row r="10">
      <c r="A10" s="34"/>
    </row>
    <row r="11">
      <c r="A11" s="34"/>
      <c r="N11" s="82"/>
    </row>
    <row r="12">
      <c r="A12" s="34"/>
    </row>
    <row r="13">
      <c r="A13" s="34"/>
    </row>
    <row r="14">
      <c r="A14" s="34"/>
    </row>
    <row r="15">
      <c r="A15" s="34"/>
    </row>
    <row r="16">
      <c r="A16" s="34"/>
    </row>
    <row r="17">
      <c r="A17" s="34"/>
    </row>
    <row r="18" ht="33.75" customHeight="1">
      <c r="A18" s="35" t="s">
        <v>24</v>
      </c>
      <c r="B18" s="83" t="s">
        <v>168</v>
      </c>
      <c r="K18" s="46"/>
      <c r="L18" s="46"/>
    </row>
    <row r="20">
      <c r="A20" s="30" t="s">
        <v>169</v>
      </c>
    </row>
    <row r="22">
      <c r="A22" s="37" t="s">
        <v>170</v>
      </c>
    </row>
    <row r="23" ht="15.75" customHeight="1"/>
    <row r="24" ht="15.75" customHeight="1">
      <c r="A24" s="37" t="s">
        <v>171</v>
      </c>
    </row>
    <row r="25" ht="15.75" customHeight="1">
      <c r="A25" s="37" t="s">
        <v>172</v>
      </c>
      <c r="N25" s="38"/>
      <c r="O25" s="38"/>
      <c r="P25" s="38"/>
      <c r="Q25" s="38"/>
      <c r="R25" s="38"/>
      <c r="S25" s="38"/>
      <c r="T25" s="38"/>
      <c r="U25" s="38"/>
      <c r="V25" s="38"/>
      <c r="W25" s="38"/>
      <c r="X25" s="38"/>
      <c r="Y25" s="38"/>
      <c r="Z25" s="38"/>
      <c r="AA25" s="38"/>
      <c r="AB25" s="38"/>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mergeCells count="5">
    <mergeCell ref="B18:J18"/>
    <mergeCell ref="A22:Q22"/>
    <mergeCell ref="A24:I24"/>
    <mergeCell ref="A25:M25"/>
    <mergeCell ref="A20:F20"/>
  </mergeCells>
  <hyperlinks>
    <hyperlink r:id="rId1" ref="B18"/>
    <hyperlink r:id="rId2" ref="A22"/>
    <hyperlink r:id="rId3" ref="A24"/>
    <hyperlink r:id="rId4" ref="A25"/>
  </hyperlinks>
  <printOptions/>
  <pageMargins bottom="0.75" footer="0.0" header="0.0" left="0.7" right="0.7" top="0.75"/>
  <pageSetup orientation="landscape"/>
  <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57"/>
    <col customWidth="1" min="2" max="2" width="10.0"/>
    <col customWidth="1" min="3" max="3" width="8.71"/>
    <col customWidth="1" min="4" max="4" width="9.86"/>
    <col customWidth="1" min="5" max="5" width="9.71"/>
    <col customWidth="1" min="6" max="6" width="9.14"/>
    <col customWidth="1" min="7" max="7" width="8.0"/>
    <col customWidth="1" min="8" max="8" width="7.43"/>
    <col customWidth="1" min="9" max="9" width="8.29"/>
    <col customWidth="1" min="10" max="12" width="7.43"/>
    <col customWidth="1" min="13" max="13" width="8.29"/>
    <col customWidth="1" min="14" max="14" width="7.29"/>
    <col customWidth="1" min="15" max="15" width="8.0"/>
    <col customWidth="1" min="16" max="16" width="8.29"/>
    <col customWidth="1" min="17" max="18" width="8.0"/>
    <col customWidth="1" min="19" max="19" width="8.29"/>
    <col customWidth="1" min="20" max="21" width="8.0"/>
    <col customWidth="1" min="22" max="22" width="8.29"/>
    <col customWidth="1" min="23" max="23" width="8.0"/>
  </cols>
  <sheetData>
    <row r="1">
      <c r="A1" s="1" t="s">
        <v>173</v>
      </c>
      <c r="B1" s="84">
        <v>44881.0</v>
      </c>
      <c r="C1" s="84">
        <v>44882.0</v>
      </c>
      <c r="D1" s="84">
        <v>44883.0</v>
      </c>
      <c r="E1" s="6" t="s">
        <v>174</v>
      </c>
      <c r="F1" s="5">
        <v>44886.0</v>
      </c>
      <c r="G1" s="40" t="s">
        <v>175</v>
      </c>
      <c r="H1" s="5">
        <v>44887.0</v>
      </c>
      <c r="I1" s="6" t="s">
        <v>176</v>
      </c>
      <c r="J1" s="5">
        <v>44888.0</v>
      </c>
      <c r="K1" s="5">
        <v>44889.0</v>
      </c>
      <c r="L1" s="5">
        <v>44893.0</v>
      </c>
      <c r="M1" s="40" t="s">
        <v>177</v>
      </c>
      <c r="N1" s="5">
        <v>44894.0</v>
      </c>
      <c r="O1" s="6" t="s">
        <v>178</v>
      </c>
      <c r="P1" s="6" t="s">
        <v>179</v>
      </c>
      <c r="Q1" s="7">
        <v>44896.0</v>
      </c>
      <c r="R1" s="7">
        <v>44897.0</v>
      </c>
      <c r="S1" s="6" t="s">
        <v>180</v>
      </c>
      <c r="T1" s="7">
        <v>44900.0</v>
      </c>
      <c r="U1" s="7">
        <v>44901.0</v>
      </c>
      <c r="V1" s="6" t="s">
        <v>181</v>
      </c>
      <c r="W1" s="7">
        <v>44902.0</v>
      </c>
      <c r="X1" s="41"/>
      <c r="Y1" s="41"/>
      <c r="Z1" s="41"/>
      <c r="AA1" s="41"/>
    </row>
    <row r="2">
      <c r="A2" s="61" t="s">
        <v>182</v>
      </c>
      <c r="B2" s="85">
        <v>59159.0</v>
      </c>
      <c r="C2" s="85">
        <v>59159.0</v>
      </c>
      <c r="D2" s="85">
        <v>59159.0</v>
      </c>
      <c r="E2" s="64">
        <v>82298.0</v>
      </c>
      <c r="F2" s="64">
        <v>82298.0</v>
      </c>
      <c r="G2" s="64">
        <v>82298.0</v>
      </c>
      <c r="H2" s="64">
        <v>82298.0</v>
      </c>
      <c r="I2" s="64">
        <v>94685.0</v>
      </c>
      <c r="J2" s="64">
        <v>94685.0</v>
      </c>
      <c r="K2" s="64">
        <v>94685.0</v>
      </c>
      <c r="L2" s="64">
        <v>94685.0</v>
      </c>
      <c r="M2" s="64">
        <v>94685.0</v>
      </c>
      <c r="N2" s="64">
        <v>94685.0</v>
      </c>
      <c r="O2" s="64">
        <v>115048.0</v>
      </c>
      <c r="P2" s="64">
        <v>115048.0</v>
      </c>
      <c r="Q2" s="64">
        <v>115048.0</v>
      </c>
      <c r="R2" s="64">
        <v>115048.0</v>
      </c>
      <c r="S2" s="64">
        <v>117693.0</v>
      </c>
      <c r="T2" s="64">
        <v>117693.0</v>
      </c>
      <c r="U2" s="64">
        <v>117693.0</v>
      </c>
      <c r="V2" s="64">
        <v>117693.0</v>
      </c>
      <c r="W2" s="64">
        <v>118135.0</v>
      </c>
      <c r="X2" s="65"/>
      <c r="Y2" s="65"/>
      <c r="Z2" s="65"/>
      <c r="AA2" s="65"/>
    </row>
    <row r="3">
      <c r="A3" s="86" t="s">
        <v>183</v>
      </c>
      <c r="B3" s="69">
        <v>54948.0</v>
      </c>
      <c r="C3" s="69">
        <v>54948.0</v>
      </c>
      <c r="D3" s="69">
        <v>54948.0</v>
      </c>
      <c r="E3" s="69">
        <v>78891.0</v>
      </c>
      <c r="F3" s="69">
        <v>78891.0</v>
      </c>
      <c r="G3" s="69">
        <v>78891.0</v>
      </c>
      <c r="H3" s="69">
        <v>78891.0</v>
      </c>
      <c r="I3" s="69">
        <v>89197.0</v>
      </c>
      <c r="J3" s="69">
        <v>89197.0</v>
      </c>
      <c r="K3" s="69">
        <v>89197.0</v>
      </c>
      <c r="L3" s="69">
        <v>89197.0</v>
      </c>
      <c r="M3" s="69">
        <v>89197.0</v>
      </c>
      <c r="N3" s="69">
        <v>89197.0</v>
      </c>
      <c r="O3" s="69">
        <v>108317.0</v>
      </c>
      <c r="P3" s="69">
        <v>108317.0</v>
      </c>
      <c r="Q3" s="69">
        <v>108317.0</v>
      </c>
      <c r="R3" s="69">
        <v>108317.0</v>
      </c>
      <c r="S3" s="69">
        <v>110675.0</v>
      </c>
      <c r="T3" s="69">
        <v>110675.0</v>
      </c>
      <c r="U3" s="69">
        <v>110675.0</v>
      </c>
      <c r="V3" s="69">
        <v>110675.0</v>
      </c>
      <c r="W3" s="69">
        <v>111035.0</v>
      </c>
      <c r="X3" s="70"/>
      <c r="Y3" s="70"/>
      <c r="Z3" s="70"/>
      <c r="AA3" s="70"/>
    </row>
    <row r="4">
      <c r="A4" s="20" t="s">
        <v>11</v>
      </c>
      <c r="B4" s="21">
        <f t="shared" ref="B4:W4" si="1">B2-B3</f>
        <v>4211</v>
      </c>
      <c r="C4" s="21">
        <f t="shared" si="1"/>
        <v>4211</v>
      </c>
      <c r="D4" s="21">
        <f t="shared" si="1"/>
        <v>4211</v>
      </c>
      <c r="E4" s="21">
        <f t="shared" si="1"/>
        <v>3407</v>
      </c>
      <c r="F4" s="21">
        <f t="shared" si="1"/>
        <v>3407</v>
      </c>
      <c r="G4" s="21">
        <f t="shared" si="1"/>
        <v>3407</v>
      </c>
      <c r="H4" s="21">
        <f t="shared" si="1"/>
        <v>3407</v>
      </c>
      <c r="I4" s="21">
        <f t="shared" si="1"/>
        <v>5488</v>
      </c>
      <c r="J4" s="21">
        <f t="shared" si="1"/>
        <v>5488</v>
      </c>
      <c r="K4" s="21">
        <f t="shared" si="1"/>
        <v>5488</v>
      </c>
      <c r="L4" s="21">
        <f t="shared" si="1"/>
        <v>5488</v>
      </c>
      <c r="M4" s="21">
        <f t="shared" si="1"/>
        <v>5488</v>
      </c>
      <c r="N4" s="21">
        <f t="shared" si="1"/>
        <v>5488</v>
      </c>
      <c r="O4" s="21">
        <f t="shared" si="1"/>
        <v>6731</v>
      </c>
      <c r="P4" s="21">
        <f t="shared" si="1"/>
        <v>6731</v>
      </c>
      <c r="Q4" s="21">
        <f t="shared" si="1"/>
        <v>6731</v>
      </c>
      <c r="R4" s="21">
        <f t="shared" si="1"/>
        <v>6731</v>
      </c>
      <c r="S4" s="21">
        <f t="shared" si="1"/>
        <v>7018</v>
      </c>
      <c r="T4" s="21">
        <f t="shared" si="1"/>
        <v>7018</v>
      </c>
      <c r="U4" s="21">
        <f t="shared" si="1"/>
        <v>7018</v>
      </c>
      <c r="V4" s="21">
        <f t="shared" si="1"/>
        <v>7018</v>
      </c>
      <c r="W4" s="21">
        <f t="shared" si="1"/>
        <v>7100</v>
      </c>
    </row>
    <row r="5">
      <c r="A5" s="20" t="s">
        <v>12</v>
      </c>
      <c r="B5" s="23">
        <f t="shared" ref="B5:W5" si="2">B4/sum(B2:B3)</f>
        <v>0.03690395857</v>
      </c>
      <c r="C5" s="23">
        <f t="shared" si="2"/>
        <v>0.03690395857</v>
      </c>
      <c r="D5" s="23">
        <f t="shared" si="2"/>
        <v>0.03690395857</v>
      </c>
      <c r="E5" s="23">
        <f t="shared" si="2"/>
        <v>0.02113667806</v>
      </c>
      <c r="F5" s="23">
        <f t="shared" si="2"/>
        <v>0.02113667806</v>
      </c>
      <c r="G5" s="23">
        <f t="shared" si="2"/>
        <v>0.02113667806</v>
      </c>
      <c r="H5" s="23">
        <f t="shared" si="2"/>
        <v>0.02113667806</v>
      </c>
      <c r="I5" s="23">
        <f t="shared" si="2"/>
        <v>0.02984522683</v>
      </c>
      <c r="J5" s="23">
        <f t="shared" si="2"/>
        <v>0.02984522683</v>
      </c>
      <c r="K5" s="23">
        <f t="shared" si="2"/>
        <v>0.02984522683</v>
      </c>
      <c r="L5" s="23">
        <f t="shared" si="2"/>
        <v>0.02984522683</v>
      </c>
      <c r="M5" s="23">
        <f t="shared" si="2"/>
        <v>0.02984522683</v>
      </c>
      <c r="N5" s="23">
        <f t="shared" si="2"/>
        <v>0.02984522683</v>
      </c>
      <c r="O5" s="23">
        <f t="shared" si="2"/>
        <v>0.03013453316</v>
      </c>
      <c r="P5" s="23">
        <f t="shared" si="2"/>
        <v>0.03013453316</v>
      </c>
      <c r="Q5" s="23">
        <f t="shared" si="2"/>
        <v>0.03013453316</v>
      </c>
      <c r="R5" s="23">
        <f t="shared" si="2"/>
        <v>0.03013453316</v>
      </c>
      <c r="S5" s="23">
        <f t="shared" si="2"/>
        <v>0.03073110068</v>
      </c>
      <c r="T5" s="23">
        <f t="shared" si="2"/>
        <v>0.03073110068</v>
      </c>
      <c r="U5" s="23">
        <f t="shared" si="2"/>
        <v>0.03073110068</v>
      </c>
      <c r="V5" s="23">
        <f t="shared" si="2"/>
        <v>0.03073110068</v>
      </c>
      <c r="W5" s="23">
        <f t="shared" si="2"/>
        <v>0.03098136754</v>
      </c>
    </row>
    <row r="6">
      <c r="A6" s="24" t="s">
        <v>13</v>
      </c>
      <c r="B6" s="81">
        <v>145452.0</v>
      </c>
      <c r="C6" s="81">
        <v>145452.0</v>
      </c>
      <c r="D6" s="81">
        <v>145452.0</v>
      </c>
      <c r="E6" s="31">
        <v>145000.0</v>
      </c>
      <c r="F6" s="31">
        <v>145000.0</v>
      </c>
      <c r="G6" s="31">
        <v>145000.0</v>
      </c>
      <c r="H6" s="31">
        <v>145000.0</v>
      </c>
      <c r="I6" s="31">
        <v>89000.0</v>
      </c>
      <c r="J6" s="31">
        <v>89000.0</v>
      </c>
      <c r="K6" s="31">
        <v>89000.0</v>
      </c>
      <c r="L6" s="31">
        <v>89000.0</v>
      </c>
      <c r="M6" s="31">
        <v>89000.0</v>
      </c>
      <c r="N6" s="31">
        <v>89000.0</v>
      </c>
      <c r="O6" s="31">
        <v>12000.0</v>
      </c>
      <c r="P6" s="31">
        <v>12000.0</v>
      </c>
      <c r="Q6" s="31">
        <v>12000.0</v>
      </c>
      <c r="R6" s="31">
        <v>12000.0</v>
      </c>
      <c r="S6" s="31">
        <v>2100.0</v>
      </c>
      <c r="T6" s="31">
        <v>2100.0</v>
      </c>
      <c r="U6" s="31">
        <v>2100.0</v>
      </c>
      <c r="V6" s="31">
        <v>2100.0</v>
      </c>
      <c r="W6" s="30">
        <v>0.0</v>
      </c>
    </row>
    <row r="7">
      <c r="A7" s="87" t="s">
        <v>21</v>
      </c>
      <c r="B7" s="81">
        <v>145452.0</v>
      </c>
      <c r="C7" s="81">
        <v>145452.0</v>
      </c>
      <c r="D7" s="81">
        <v>145452.0</v>
      </c>
      <c r="E7" s="31">
        <v>145000.0</v>
      </c>
      <c r="F7" s="31">
        <v>145000.0</v>
      </c>
      <c r="G7" s="31">
        <v>145000.0</v>
      </c>
      <c r="H7" s="31">
        <v>145000.0</v>
      </c>
      <c r="I7" s="31">
        <v>89000.0</v>
      </c>
      <c r="J7" s="31">
        <v>89000.0</v>
      </c>
      <c r="K7" s="31">
        <v>89000.0</v>
      </c>
      <c r="L7" s="31">
        <v>89000.0</v>
      </c>
      <c r="M7" s="31">
        <v>89000.0</v>
      </c>
      <c r="N7" s="31">
        <v>89000.0</v>
      </c>
      <c r="O7" s="31">
        <v>12000.0</v>
      </c>
      <c r="P7" s="31">
        <v>12000.0</v>
      </c>
      <c r="Q7" s="31">
        <v>12000.0</v>
      </c>
      <c r="R7" s="31">
        <v>12000.0</v>
      </c>
      <c r="S7" s="31">
        <v>2100.0</v>
      </c>
      <c r="T7" s="31">
        <v>2100.0</v>
      </c>
      <c r="U7" s="31">
        <v>2100.0</v>
      </c>
      <c r="V7" s="31">
        <v>2100.0</v>
      </c>
      <c r="W7" s="30">
        <v>0.0</v>
      </c>
    </row>
    <row r="8">
      <c r="A8" s="49"/>
      <c r="B8" s="50"/>
      <c r="C8" s="50"/>
      <c r="D8" s="50"/>
    </row>
    <row r="9">
      <c r="A9" s="49"/>
      <c r="B9" s="50"/>
      <c r="C9" s="76"/>
      <c r="D9" s="76"/>
    </row>
    <row r="10">
      <c r="A10" s="49"/>
      <c r="B10" s="50"/>
      <c r="C10" s="76"/>
      <c r="D10" s="76"/>
    </row>
    <row r="11">
      <c r="A11" s="49"/>
      <c r="B11" s="50"/>
      <c r="C11" s="50"/>
      <c r="D11" s="50"/>
    </row>
    <row r="12">
      <c r="A12" s="49"/>
      <c r="B12" s="50"/>
      <c r="C12" s="50"/>
      <c r="D12" s="88"/>
    </row>
    <row r="13">
      <c r="A13" s="49"/>
      <c r="B13" s="50"/>
      <c r="C13" s="76"/>
      <c r="D13" s="76"/>
    </row>
    <row r="14">
      <c r="A14" s="49"/>
      <c r="B14" s="50"/>
      <c r="C14" s="50"/>
      <c r="D14" s="88"/>
    </row>
    <row r="15">
      <c r="A15" s="49"/>
      <c r="B15" s="50"/>
      <c r="C15" s="76"/>
      <c r="D15" s="76"/>
    </row>
    <row r="16">
      <c r="A16" s="49"/>
      <c r="B16" s="50"/>
      <c r="C16" s="50"/>
      <c r="D16" s="50"/>
    </row>
    <row r="17">
      <c r="A17" s="34"/>
    </row>
    <row r="18">
      <c r="A18" s="35" t="s">
        <v>92</v>
      </c>
      <c r="B18" s="89" t="s">
        <v>184</v>
      </c>
      <c r="F18" s="90"/>
      <c r="G18" s="90"/>
      <c r="H18" s="90"/>
      <c r="I18" s="90"/>
      <c r="J18" s="90"/>
      <c r="K18" s="90"/>
      <c r="L18" s="90"/>
      <c r="M18" s="90"/>
      <c r="N18" s="90"/>
      <c r="O18" s="90"/>
      <c r="P18" s="90"/>
      <c r="Q18" s="90"/>
      <c r="R18" s="90"/>
      <c r="S18" s="90"/>
      <c r="T18" s="90"/>
      <c r="U18" s="90"/>
      <c r="V18" s="90"/>
      <c r="W18" s="90"/>
    </row>
    <row r="20">
      <c r="A20" s="30" t="s">
        <v>185</v>
      </c>
    </row>
    <row r="22">
      <c r="A22" s="91" t="s">
        <v>186</v>
      </c>
    </row>
    <row r="24" ht="15.75" customHeight="1">
      <c r="A24" s="37" t="s">
        <v>187</v>
      </c>
      <c r="Q24" s="38"/>
      <c r="R24" s="38"/>
      <c r="S24" s="38"/>
      <c r="T24" s="38"/>
      <c r="U24" s="38"/>
      <c r="V24" s="38"/>
      <c r="W24" s="38"/>
      <c r="X24" s="38"/>
      <c r="Y24" s="38"/>
      <c r="Z24" s="38"/>
      <c r="AA24" s="38"/>
    </row>
  </sheetData>
  <mergeCells count="4">
    <mergeCell ref="B18:E18"/>
    <mergeCell ref="A22:R22"/>
    <mergeCell ref="A24:P24"/>
    <mergeCell ref="A20:F20"/>
  </mergeCells>
  <hyperlinks>
    <hyperlink r:id="rId1" ref="B18"/>
    <hyperlink r:id="rId2" ref="A22"/>
    <hyperlink r:id="rId3" ref="A24"/>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4.57"/>
    <col customWidth="1" min="2" max="2" width="7.43"/>
    <col customWidth="1" min="3" max="3" width="8.29"/>
    <col customWidth="1" min="4" max="4" width="7.43"/>
    <col customWidth="1" min="5" max="6" width="8.29"/>
    <col customWidth="1" min="7" max="7" width="7.0"/>
    <col customWidth="1" min="8" max="8" width="7.14"/>
    <col customWidth="1" min="9" max="9" width="8.29"/>
    <col customWidth="1" min="10" max="14" width="9.57"/>
    <col customWidth="1" min="15" max="15" width="8.43"/>
  </cols>
  <sheetData>
    <row r="1" ht="32.25" customHeight="1">
      <c r="A1" s="1" t="s">
        <v>188</v>
      </c>
      <c r="B1" s="6" t="s">
        <v>189</v>
      </c>
      <c r="C1" s="6" t="s">
        <v>190</v>
      </c>
      <c r="D1" s="5">
        <v>44894.0</v>
      </c>
      <c r="E1" s="6" t="s">
        <v>191</v>
      </c>
      <c r="F1" s="4" t="s">
        <v>192</v>
      </c>
      <c r="G1" s="7">
        <v>44896.0</v>
      </c>
      <c r="H1" s="7">
        <v>44897.0</v>
      </c>
      <c r="I1" s="4" t="s">
        <v>193</v>
      </c>
      <c r="J1" s="7">
        <v>44900.0</v>
      </c>
      <c r="K1" s="7">
        <v>44901.0</v>
      </c>
      <c r="L1" s="6" t="s">
        <v>194</v>
      </c>
      <c r="M1" s="7">
        <v>44902.0</v>
      </c>
      <c r="N1" s="7">
        <v>44903.0</v>
      </c>
      <c r="O1" s="7">
        <v>44904.0</v>
      </c>
    </row>
    <row r="2">
      <c r="A2" s="14" t="s">
        <v>195</v>
      </c>
      <c r="B2" s="17">
        <v>67108.0</v>
      </c>
      <c r="C2" s="17">
        <v>67186.0</v>
      </c>
      <c r="D2" s="17">
        <v>67211.0</v>
      </c>
      <c r="E2" s="17">
        <v>67269.0</v>
      </c>
      <c r="F2" s="17">
        <v>67269.0</v>
      </c>
      <c r="G2" s="17">
        <v>67679.0</v>
      </c>
      <c r="H2" s="17">
        <v>67679.0</v>
      </c>
      <c r="I2" s="17">
        <v>67679.0</v>
      </c>
      <c r="J2" s="17">
        <v>68264.0</v>
      </c>
      <c r="K2" s="17">
        <v>68302.0</v>
      </c>
      <c r="L2" s="17">
        <v>68302.0</v>
      </c>
      <c r="M2" s="17">
        <v>68302.0</v>
      </c>
      <c r="N2" s="17">
        <v>68302.0</v>
      </c>
      <c r="O2" s="17">
        <v>68457.0</v>
      </c>
      <c r="P2" s="43"/>
      <c r="Q2" s="43"/>
      <c r="R2" s="43"/>
      <c r="S2" s="43"/>
      <c r="T2" s="43"/>
      <c r="U2" s="43"/>
      <c r="V2" s="43"/>
      <c r="W2" s="43"/>
      <c r="X2" s="43"/>
      <c r="Y2" s="43"/>
      <c r="Z2" s="43"/>
      <c r="AA2" s="43"/>
      <c r="AB2" s="43"/>
    </row>
    <row r="3">
      <c r="A3" s="92" t="s">
        <v>196</v>
      </c>
      <c r="B3" s="12">
        <v>67481.0</v>
      </c>
      <c r="C3" s="12">
        <v>67549.0</v>
      </c>
      <c r="D3" s="12">
        <v>67588.0</v>
      </c>
      <c r="E3" s="12">
        <v>67625.0</v>
      </c>
      <c r="F3" s="12">
        <v>67625.0</v>
      </c>
      <c r="G3" s="12">
        <v>67924.0</v>
      </c>
      <c r="H3" s="12">
        <v>67924.0</v>
      </c>
      <c r="I3" s="12">
        <v>67924.0</v>
      </c>
      <c r="J3" s="12">
        <v>68219.0</v>
      </c>
      <c r="K3" s="12">
        <v>68290.0</v>
      </c>
      <c r="L3" s="12">
        <v>68290.0</v>
      </c>
      <c r="M3" s="12">
        <v>68290.0</v>
      </c>
      <c r="N3" s="12">
        <v>68290.0</v>
      </c>
      <c r="O3" s="12">
        <v>68437.0</v>
      </c>
      <c r="P3" s="42"/>
      <c r="Q3" s="42"/>
      <c r="R3" s="42"/>
      <c r="S3" s="42"/>
      <c r="T3" s="42"/>
      <c r="U3" s="42"/>
      <c r="V3" s="42"/>
      <c r="W3" s="42"/>
      <c r="X3" s="42"/>
      <c r="Y3" s="42"/>
      <c r="Z3" s="42"/>
      <c r="AA3" s="42"/>
      <c r="AB3" s="42"/>
    </row>
    <row r="4">
      <c r="A4" s="20" t="s">
        <v>11</v>
      </c>
      <c r="B4" s="21">
        <f t="shared" ref="B4:I4" si="1">B3-B2</f>
        <v>373</v>
      </c>
      <c r="C4" s="21">
        <f t="shared" si="1"/>
        <v>363</v>
      </c>
      <c r="D4" s="21">
        <f t="shared" si="1"/>
        <v>377</v>
      </c>
      <c r="E4" s="21">
        <f t="shared" si="1"/>
        <v>356</v>
      </c>
      <c r="F4" s="21">
        <f t="shared" si="1"/>
        <v>356</v>
      </c>
      <c r="G4" s="21">
        <f t="shared" si="1"/>
        <v>245</v>
      </c>
      <c r="H4" s="21">
        <f t="shared" si="1"/>
        <v>245</v>
      </c>
      <c r="I4" s="21">
        <f t="shared" si="1"/>
        <v>245</v>
      </c>
      <c r="J4" s="21">
        <f t="shared" ref="J4:O4" si="2">J2-J3</f>
        <v>45</v>
      </c>
      <c r="K4" s="21">
        <f t="shared" si="2"/>
        <v>12</v>
      </c>
      <c r="L4" s="21">
        <f t="shared" si="2"/>
        <v>12</v>
      </c>
      <c r="M4" s="21">
        <f t="shared" si="2"/>
        <v>12</v>
      </c>
      <c r="N4" s="21">
        <f t="shared" si="2"/>
        <v>12</v>
      </c>
      <c r="O4" s="21">
        <f t="shared" si="2"/>
        <v>20</v>
      </c>
    </row>
    <row r="5">
      <c r="A5" s="20" t="s">
        <v>12</v>
      </c>
      <c r="B5" s="23">
        <f t="shared" ref="B5:O5" si="3">B4/sum(B2:B3)</f>
        <v>0.002771400337</v>
      </c>
      <c r="C5" s="23">
        <f t="shared" si="3"/>
        <v>0.002694177459</v>
      </c>
      <c r="D5" s="23">
        <f t="shared" si="3"/>
        <v>0.002796756652</v>
      </c>
      <c r="E5" s="23">
        <f t="shared" si="3"/>
        <v>0.002639109227</v>
      </c>
      <c r="F5" s="23">
        <f t="shared" si="3"/>
        <v>0.002639109227</v>
      </c>
      <c r="G5" s="23">
        <f t="shared" si="3"/>
        <v>0.001806744689</v>
      </c>
      <c r="H5" s="23">
        <f t="shared" si="3"/>
        <v>0.001806744689</v>
      </c>
      <c r="I5" s="23">
        <f t="shared" si="3"/>
        <v>0.001806744689</v>
      </c>
      <c r="J5" s="93">
        <f t="shared" si="3"/>
        <v>0.0003297113926</v>
      </c>
      <c r="K5" s="93">
        <f t="shared" si="3"/>
        <v>0.00008785287572</v>
      </c>
      <c r="L5" s="93">
        <f t="shared" si="3"/>
        <v>0.00008785287572</v>
      </c>
      <c r="M5" s="93">
        <f t="shared" si="3"/>
        <v>0.00008785287572</v>
      </c>
      <c r="N5" s="93">
        <f t="shared" si="3"/>
        <v>0.00008785287572</v>
      </c>
      <c r="O5" s="93">
        <f t="shared" si="3"/>
        <v>0.0001460984411</v>
      </c>
    </row>
    <row r="6">
      <c r="A6" s="24" t="s">
        <v>13</v>
      </c>
      <c r="B6" s="31">
        <f t="shared" ref="B6:O6" si="4">sum(B7:B10)</f>
        <v>6326</v>
      </c>
      <c r="C6" s="31">
        <f t="shared" si="4"/>
        <v>6302</v>
      </c>
      <c r="D6" s="31">
        <f t="shared" si="4"/>
        <v>6302</v>
      </c>
      <c r="E6" s="31">
        <f t="shared" si="4"/>
        <v>6173</v>
      </c>
      <c r="F6" s="31">
        <f t="shared" si="4"/>
        <v>6173</v>
      </c>
      <c r="G6" s="31">
        <f t="shared" si="4"/>
        <v>6173</v>
      </c>
      <c r="H6" s="31">
        <f t="shared" si="4"/>
        <v>4117</v>
      </c>
      <c r="I6" s="31">
        <f t="shared" si="4"/>
        <v>100</v>
      </c>
      <c r="J6" s="31">
        <f t="shared" si="4"/>
        <v>100</v>
      </c>
      <c r="K6" s="31">
        <f t="shared" si="4"/>
        <v>100</v>
      </c>
      <c r="L6" s="31">
        <f t="shared" si="4"/>
        <v>100</v>
      </c>
      <c r="M6" s="31">
        <f t="shared" si="4"/>
        <v>100</v>
      </c>
      <c r="N6" s="31">
        <f t="shared" si="4"/>
        <v>100</v>
      </c>
      <c r="O6" s="31">
        <f t="shared" si="4"/>
        <v>0</v>
      </c>
    </row>
    <row r="7">
      <c r="A7" s="87" t="s">
        <v>48</v>
      </c>
      <c r="B7" s="31">
        <v>2600.0</v>
      </c>
      <c r="C7" s="31">
        <v>2600.0</v>
      </c>
      <c r="D7" s="31">
        <v>2600.0</v>
      </c>
      <c r="E7" s="31">
        <v>2600.0</v>
      </c>
      <c r="F7" s="31">
        <v>2600.0</v>
      </c>
      <c r="G7" s="31">
        <v>2600.0</v>
      </c>
      <c r="H7" s="31">
        <v>2600.0</v>
      </c>
      <c r="I7" s="30">
        <v>0.0</v>
      </c>
      <c r="J7" s="30">
        <v>0.0</v>
      </c>
      <c r="K7" s="30">
        <v>0.0</v>
      </c>
      <c r="L7" s="30">
        <v>0.0</v>
      </c>
      <c r="M7" s="30">
        <v>0.0</v>
      </c>
      <c r="N7" s="30">
        <v>0.0</v>
      </c>
      <c r="O7" s="30">
        <v>0.0</v>
      </c>
    </row>
    <row r="8">
      <c r="A8" s="87" t="s">
        <v>71</v>
      </c>
      <c r="B8" s="31">
        <v>2776.0</v>
      </c>
      <c r="C8" s="31">
        <v>2776.0</v>
      </c>
      <c r="D8" s="31">
        <v>2776.0</v>
      </c>
      <c r="E8" s="31">
        <v>2776.0</v>
      </c>
      <c r="F8" s="31">
        <v>2776.0</v>
      </c>
      <c r="G8" s="31">
        <v>2776.0</v>
      </c>
      <c r="H8" s="30">
        <v>720.0</v>
      </c>
      <c r="I8" s="30">
        <v>100.0</v>
      </c>
      <c r="J8" s="30">
        <v>100.0</v>
      </c>
      <c r="K8" s="30">
        <v>100.0</v>
      </c>
      <c r="L8" s="30">
        <v>100.0</v>
      </c>
      <c r="M8" s="30">
        <v>100.0</v>
      </c>
      <c r="N8" s="30">
        <v>100.0</v>
      </c>
      <c r="O8" s="30">
        <v>0.0</v>
      </c>
    </row>
    <row r="9">
      <c r="A9" s="87" t="s">
        <v>72</v>
      </c>
      <c r="B9" s="30">
        <v>24.0</v>
      </c>
      <c r="C9" s="30">
        <v>0.0</v>
      </c>
      <c r="D9" s="30">
        <v>0.0</v>
      </c>
      <c r="E9" s="30">
        <v>0.0</v>
      </c>
      <c r="F9" s="30">
        <v>0.0</v>
      </c>
      <c r="G9" s="30">
        <v>0.0</v>
      </c>
      <c r="H9" s="30">
        <v>0.0</v>
      </c>
      <c r="I9" s="30">
        <v>0.0</v>
      </c>
      <c r="J9" s="30">
        <v>0.0</v>
      </c>
      <c r="K9" s="30">
        <v>0.0</v>
      </c>
      <c r="L9" s="30">
        <v>0.0</v>
      </c>
      <c r="M9" s="30">
        <v>0.0</v>
      </c>
      <c r="N9" s="30">
        <v>0.0</v>
      </c>
      <c r="O9" s="30">
        <v>0.0</v>
      </c>
    </row>
    <row r="10">
      <c r="A10" s="87" t="s">
        <v>73</v>
      </c>
      <c r="B10" s="30">
        <v>926.0</v>
      </c>
      <c r="C10" s="30">
        <v>926.0</v>
      </c>
      <c r="D10" s="30">
        <v>926.0</v>
      </c>
      <c r="E10" s="30">
        <v>797.0</v>
      </c>
      <c r="F10" s="30">
        <v>797.0</v>
      </c>
      <c r="G10" s="30">
        <v>797.0</v>
      </c>
      <c r="H10" s="30">
        <v>797.0</v>
      </c>
      <c r="I10" s="30">
        <v>0.0</v>
      </c>
      <c r="J10" s="30">
        <v>0.0</v>
      </c>
      <c r="K10" s="30">
        <v>0.0</v>
      </c>
      <c r="L10" s="30">
        <v>0.0</v>
      </c>
      <c r="M10" s="30">
        <v>0.0</v>
      </c>
      <c r="N10" s="30">
        <v>0.0</v>
      </c>
      <c r="O10" s="30">
        <v>0.0</v>
      </c>
    </row>
    <row r="11">
      <c r="A11" s="49"/>
    </row>
    <row r="12">
      <c r="A12" s="49"/>
    </row>
    <row r="13">
      <c r="A13" s="49"/>
    </row>
    <row r="14">
      <c r="A14" s="49"/>
    </row>
    <row r="15">
      <c r="A15" s="49"/>
    </row>
    <row r="16">
      <c r="A16" s="49"/>
    </row>
    <row r="17">
      <c r="A17" s="34"/>
    </row>
    <row r="18">
      <c r="A18" s="35" t="s">
        <v>92</v>
      </c>
      <c r="B18" s="89" t="s">
        <v>197</v>
      </c>
    </row>
    <row r="20">
      <c r="A20" s="30" t="s">
        <v>198</v>
      </c>
    </row>
    <row r="22">
      <c r="A22" s="37" t="s">
        <v>199</v>
      </c>
    </row>
    <row r="23">
      <c r="A23" s="37" t="s">
        <v>200</v>
      </c>
    </row>
    <row r="24" ht="15.75" customHeight="1">
      <c r="A24" s="37" t="s">
        <v>201</v>
      </c>
    </row>
    <row r="25" ht="15.75" customHeight="1">
      <c r="A25" s="37" t="s">
        <v>202</v>
      </c>
      <c r="V25" s="38"/>
      <c r="W25" s="38"/>
      <c r="X25" s="38"/>
      <c r="Y25" s="38"/>
      <c r="Z25" s="38"/>
    </row>
    <row r="27">
      <c r="A27" s="37" t="s">
        <v>203</v>
      </c>
    </row>
  </sheetData>
  <mergeCells count="7">
    <mergeCell ref="B18:L18"/>
    <mergeCell ref="A22:M22"/>
    <mergeCell ref="A23:S23"/>
    <mergeCell ref="A24:J24"/>
    <mergeCell ref="A25:U25"/>
    <mergeCell ref="A27:S27"/>
    <mergeCell ref="A20:F20"/>
  </mergeCells>
  <hyperlinks>
    <hyperlink r:id="rId1" ref="B18"/>
    <hyperlink r:id="rId2" ref="A22"/>
    <hyperlink r:id="rId3" ref="A23"/>
    <hyperlink r:id="rId4" ref="A24"/>
    <hyperlink r:id="rId5" ref="A25"/>
    <hyperlink r:id="rId6" ref="A27"/>
  </hyperlinks>
  <drawing r:id="rId7"/>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0.43"/>
    <col customWidth="1" min="3" max="3" width="9.86"/>
    <col customWidth="1" min="4" max="4" width="9.71"/>
    <col customWidth="1" min="5" max="5" width="10.57"/>
    <col customWidth="1" min="6" max="6" width="9.14"/>
    <col customWidth="1" min="7" max="7" width="8.29"/>
    <col customWidth="1" min="8" max="8" width="9.14"/>
    <col customWidth="1" min="9" max="9" width="8.29"/>
    <col customWidth="1" min="10" max="10" width="7.0"/>
    <col customWidth="1" min="11" max="12" width="7.43"/>
    <col customWidth="1" min="13" max="13" width="8.29"/>
    <col customWidth="1" min="14" max="14" width="7.43"/>
    <col customWidth="1" min="15" max="16" width="8.29"/>
    <col customWidth="1" min="17" max="18" width="7.14"/>
    <col customWidth="1" min="19" max="19" width="8.29"/>
    <col customWidth="1" min="20" max="21" width="7.14"/>
    <col customWidth="1" min="22" max="22" width="8.29"/>
    <col customWidth="1" min="23" max="23" width="7.0"/>
  </cols>
  <sheetData>
    <row r="1">
      <c r="A1" s="1" t="s">
        <v>204</v>
      </c>
      <c r="B1" s="84">
        <v>44881.0</v>
      </c>
      <c r="C1" s="84">
        <v>44882.0</v>
      </c>
      <c r="D1" s="84">
        <v>44883.0</v>
      </c>
      <c r="E1" s="6" t="s">
        <v>205</v>
      </c>
      <c r="F1" s="5">
        <v>44886.0</v>
      </c>
      <c r="G1" s="40" t="s">
        <v>206</v>
      </c>
      <c r="H1" s="5">
        <v>44887.0</v>
      </c>
      <c r="I1" s="6" t="s">
        <v>207</v>
      </c>
      <c r="J1" s="39">
        <v>44888.0</v>
      </c>
      <c r="K1" s="5">
        <v>44889.0</v>
      </c>
      <c r="L1" s="5">
        <v>44893.0</v>
      </c>
      <c r="M1" s="6" t="s">
        <v>208</v>
      </c>
      <c r="N1" s="5">
        <v>44894.0</v>
      </c>
      <c r="O1" s="6" t="s">
        <v>209</v>
      </c>
      <c r="P1" s="6" t="s">
        <v>210</v>
      </c>
      <c r="Q1" s="7">
        <v>44896.0</v>
      </c>
      <c r="R1" s="7">
        <v>44897.0</v>
      </c>
      <c r="S1" s="6" t="s">
        <v>211</v>
      </c>
      <c r="T1" s="7">
        <v>44900.0</v>
      </c>
      <c r="U1" s="7">
        <v>44901.0</v>
      </c>
      <c r="V1" s="6" t="s">
        <v>194</v>
      </c>
      <c r="W1" s="94">
        <v>44902.0</v>
      </c>
      <c r="X1" s="41"/>
      <c r="Y1" s="41"/>
      <c r="Z1" s="41"/>
      <c r="AA1" s="41"/>
    </row>
    <row r="2" ht="14.25" customHeight="1">
      <c r="A2" s="92" t="s">
        <v>212</v>
      </c>
      <c r="B2" s="12">
        <v>48289.0</v>
      </c>
      <c r="C2" s="12">
        <v>48289.0</v>
      </c>
      <c r="D2" s="12">
        <v>48289.0</v>
      </c>
      <c r="E2" s="12">
        <v>61902.0</v>
      </c>
      <c r="F2" s="12">
        <v>61902.0</v>
      </c>
      <c r="G2" s="12">
        <v>61902.0</v>
      </c>
      <c r="H2" s="12">
        <v>61902.0</v>
      </c>
      <c r="I2" s="12">
        <v>73100.0</v>
      </c>
      <c r="J2" s="12">
        <v>73100.0</v>
      </c>
      <c r="K2" s="12">
        <v>73100.0</v>
      </c>
      <c r="L2" s="12">
        <v>73100.0</v>
      </c>
      <c r="M2" s="12">
        <v>73100.0</v>
      </c>
      <c r="N2" s="12">
        <v>73100.0</v>
      </c>
      <c r="O2" s="12">
        <v>82226.0</v>
      </c>
      <c r="P2" s="12">
        <v>82226.0</v>
      </c>
      <c r="Q2" s="12">
        <v>82226.0</v>
      </c>
      <c r="R2" s="12">
        <v>82226.0</v>
      </c>
      <c r="S2" s="12">
        <v>83400.0</v>
      </c>
      <c r="T2" s="12">
        <v>83400.0</v>
      </c>
      <c r="U2" s="12">
        <v>83400.0</v>
      </c>
      <c r="V2" s="12">
        <v>83400.0</v>
      </c>
      <c r="W2" s="12">
        <v>83768.0</v>
      </c>
      <c r="X2" s="42"/>
      <c r="Y2" s="42"/>
      <c r="Z2" s="42"/>
      <c r="AA2" s="42"/>
    </row>
    <row r="3">
      <c r="A3" s="14" t="s">
        <v>213</v>
      </c>
      <c r="B3" s="95">
        <v>49195.0</v>
      </c>
      <c r="C3" s="95">
        <v>49195.0</v>
      </c>
      <c r="D3" s="95">
        <v>49195.0</v>
      </c>
      <c r="E3" s="17">
        <v>61886.0</v>
      </c>
      <c r="F3" s="17">
        <v>61886.0</v>
      </c>
      <c r="G3" s="17">
        <v>61886.0</v>
      </c>
      <c r="H3" s="17">
        <v>61886.0</v>
      </c>
      <c r="I3" s="17">
        <v>71532.0</v>
      </c>
      <c r="J3" s="17">
        <v>71532.0</v>
      </c>
      <c r="K3" s="17">
        <v>71532.0</v>
      </c>
      <c r="L3" s="17">
        <v>71532.0</v>
      </c>
      <c r="M3" s="17">
        <v>71532.0</v>
      </c>
      <c r="N3" s="17">
        <v>71532.0</v>
      </c>
      <c r="O3" s="96">
        <v>80749.0</v>
      </c>
      <c r="P3" s="96">
        <v>80749.0</v>
      </c>
      <c r="Q3" s="96">
        <v>80749.0</v>
      </c>
      <c r="R3" s="96">
        <v>80749.0</v>
      </c>
      <c r="S3" s="17">
        <v>82009.0</v>
      </c>
      <c r="T3" s="17">
        <v>82009.0</v>
      </c>
      <c r="U3" s="17">
        <v>82009.0</v>
      </c>
      <c r="V3" s="17">
        <v>82009.0</v>
      </c>
      <c r="W3" s="17">
        <v>82385.0</v>
      </c>
      <c r="X3" s="43"/>
      <c r="Y3" s="43"/>
      <c r="Z3" s="43"/>
      <c r="AA3" s="43"/>
    </row>
    <row r="4">
      <c r="A4" s="20" t="s">
        <v>11</v>
      </c>
      <c r="B4" s="21">
        <f t="shared" ref="B4:D4" si="1">B3-B2</f>
        <v>906</v>
      </c>
      <c r="C4" s="21">
        <f t="shared" si="1"/>
        <v>906</v>
      </c>
      <c r="D4" s="21">
        <f t="shared" si="1"/>
        <v>906</v>
      </c>
      <c r="E4" s="21">
        <f t="shared" ref="E4:W4" si="2">E2-E3</f>
        <v>16</v>
      </c>
      <c r="F4" s="21">
        <f t="shared" si="2"/>
        <v>16</v>
      </c>
      <c r="G4" s="21">
        <f t="shared" si="2"/>
        <v>16</v>
      </c>
      <c r="H4" s="21">
        <f t="shared" si="2"/>
        <v>16</v>
      </c>
      <c r="I4" s="21">
        <f t="shared" si="2"/>
        <v>1568</v>
      </c>
      <c r="J4" s="21">
        <f t="shared" si="2"/>
        <v>1568</v>
      </c>
      <c r="K4" s="21">
        <f t="shared" si="2"/>
        <v>1568</v>
      </c>
      <c r="L4" s="21">
        <f t="shared" si="2"/>
        <v>1568</v>
      </c>
      <c r="M4" s="21">
        <f t="shared" si="2"/>
        <v>1568</v>
      </c>
      <c r="N4" s="21">
        <f t="shared" si="2"/>
        <v>1568</v>
      </c>
      <c r="O4" s="21">
        <f t="shared" si="2"/>
        <v>1477</v>
      </c>
      <c r="P4" s="21">
        <f t="shared" si="2"/>
        <v>1477</v>
      </c>
      <c r="Q4" s="21">
        <f t="shared" si="2"/>
        <v>1477</v>
      </c>
      <c r="R4" s="21">
        <f t="shared" si="2"/>
        <v>1477</v>
      </c>
      <c r="S4" s="21">
        <f t="shared" si="2"/>
        <v>1391</v>
      </c>
      <c r="T4" s="21">
        <f t="shared" si="2"/>
        <v>1391</v>
      </c>
      <c r="U4" s="21">
        <f t="shared" si="2"/>
        <v>1391</v>
      </c>
      <c r="V4" s="21">
        <f t="shared" si="2"/>
        <v>1391</v>
      </c>
      <c r="W4" s="21">
        <f t="shared" si="2"/>
        <v>1383</v>
      </c>
    </row>
    <row r="5">
      <c r="A5" s="20" t="s">
        <v>12</v>
      </c>
      <c r="B5" s="23">
        <f t="shared" ref="B5:W5" si="3">B4/sum(B2:B3)</f>
        <v>0.009293832834</v>
      </c>
      <c r="C5" s="23">
        <f t="shared" si="3"/>
        <v>0.009293832834</v>
      </c>
      <c r="D5" s="23">
        <f t="shared" si="3"/>
        <v>0.009293832834</v>
      </c>
      <c r="E5" s="97">
        <f t="shared" si="3"/>
        <v>0.0001292532394</v>
      </c>
      <c r="F5" s="97">
        <f t="shared" si="3"/>
        <v>0.0001292532394</v>
      </c>
      <c r="G5" s="97">
        <f t="shared" si="3"/>
        <v>0.0001292532394</v>
      </c>
      <c r="H5" s="97">
        <f t="shared" si="3"/>
        <v>0.0001292532394</v>
      </c>
      <c r="I5" s="23">
        <f t="shared" si="3"/>
        <v>0.01084130759</v>
      </c>
      <c r="J5" s="23">
        <f t="shared" si="3"/>
        <v>0.01084130759</v>
      </c>
      <c r="K5" s="23">
        <f t="shared" si="3"/>
        <v>0.01084130759</v>
      </c>
      <c r="L5" s="23">
        <f t="shared" si="3"/>
        <v>0.01084130759</v>
      </c>
      <c r="M5" s="23">
        <f t="shared" si="3"/>
        <v>0.01084130759</v>
      </c>
      <c r="N5" s="23">
        <f t="shared" si="3"/>
        <v>0.01084130759</v>
      </c>
      <c r="O5" s="23">
        <f t="shared" si="3"/>
        <v>0.009062739684</v>
      </c>
      <c r="P5" s="23">
        <f t="shared" si="3"/>
        <v>0.009062739684</v>
      </c>
      <c r="Q5" s="23">
        <f t="shared" si="3"/>
        <v>0.009062739684</v>
      </c>
      <c r="R5" s="23">
        <f t="shared" si="3"/>
        <v>0.009062739684</v>
      </c>
      <c r="S5" s="23">
        <f t="shared" si="3"/>
        <v>0.008409457768</v>
      </c>
      <c r="T5" s="23">
        <f t="shared" si="3"/>
        <v>0.008409457768</v>
      </c>
      <c r="U5" s="23">
        <f t="shared" si="3"/>
        <v>0.008409457768</v>
      </c>
      <c r="V5" s="23">
        <f t="shared" si="3"/>
        <v>0.008409457768</v>
      </c>
      <c r="W5" s="23">
        <f t="shared" si="3"/>
        <v>0.0083236535</v>
      </c>
    </row>
    <row r="6">
      <c r="A6" s="24" t="s">
        <v>13</v>
      </c>
      <c r="B6" s="81">
        <v>145452.0</v>
      </c>
      <c r="C6" s="81">
        <v>145452.0</v>
      </c>
      <c r="D6" s="81">
        <v>145452.0</v>
      </c>
      <c r="E6" s="33">
        <v>145000.0</v>
      </c>
      <c r="F6" s="33">
        <v>145000.0</v>
      </c>
      <c r="G6" s="33">
        <v>145000.0</v>
      </c>
      <c r="H6" s="33">
        <v>145000.0</v>
      </c>
      <c r="I6" s="31">
        <v>89000.0</v>
      </c>
      <c r="J6" s="31">
        <v>89000.0</v>
      </c>
      <c r="K6" s="31">
        <v>89000.0</v>
      </c>
      <c r="L6" s="31">
        <v>89000.0</v>
      </c>
      <c r="M6" s="31">
        <v>89000.0</v>
      </c>
      <c r="N6" s="31">
        <v>89000.0</v>
      </c>
      <c r="O6" s="31">
        <v>12000.0</v>
      </c>
      <c r="P6" s="31">
        <v>12000.0</v>
      </c>
      <c r="Q6" s="31">
        <v>12000.0</v>
      </c>
      <c r="R6" s="31">
        <v>12000.0</v>
      </c>
      <c r="S6" s="31">
        <v>2100.0</v>
      </c>
      <c r="T6" s="31">
        <v>2100.0</v>
      </c>
      <c r="U6" s="31">
        <v>2100.0</v>
      </c>
      <c r="V6" s="31">
        <v>2100.0</v>
      </c>
      <c r="W6" s="30">
        <v>0.0</v>
      </c>
    </row>
    <row r="7">
      <c r="A7" s="87" t="s">
        <v>21</v>
      </c>
      <c r="B7" s="81">
        <v>145452.0</v>
      </c>
      <c r="C7" s="81">
        <v>145452.0</v>
      </c>
      <c r="D7" s="81">
        <v>145452.0</v>
      </c>
      <c r="E7" s="33">
        <v>145000.0</v>
      </c>
      <c r="F7" s="33">
        <v>145000.0</v>
      </c>
      <c r="G7" s="33">
        <v>145000.0</v>
      </c>
      <c r="H7" s="33">
        <v>145000.0</v>
      </c>
      <c r="I7" s="31">
        <v>89000.0</v>
      </c>
      <c r="J7" s="31">
        <v>89000.0</v>
      </c>
      <c r="K7" s="31">
        <v>89000.0</v>
      </c>
      <c r="L7" s="31">
        <v>89000.0</v>
      </c>
      <c r="M7" s="31">
        <v>89000.0</v>
      </c>
      <c r="N7" s="31">
        <v>89000.0</v>
      </c>
      <c r="O7" s="31">
        <v>12000.0</v>
      </c>
      <c r="P7" s="31">
        <v>12000.0</v>
      </c>
      <c r="Q7" s="31">
        <v>12000.0</v>
      </c>
      <c r="R7" s="31">
        <v>12000.0</v>
      </c>
      <c r="S7" s="31">
        <v>2100.0</v>
      </c>
      <c r="T7" s="31">
        <v>2100.0</v>
      </c>
      <c r="U7" s="31">
        <v>2100.0</v>
      </c>
      <c r="V7" s="31">
        <v>2100.0</v>
      </c>
      <c r="W7" s="30">
        <v>0.0</v>
      </c>
    </row>
    <row r="8">
      <c r="A8" s="49"/>
      <c r="B8" s="50"/>
      <c r="C8" s="50"/>
      <c r="D8" s="50"/>
    </row>
    <row r="9">
      <c r="A9" s="49"/>
      <c r="B9" s="50"/>
      <c r="C9" s="76"/>
      <c r="D9" s="76"/>
    </row>
    <row r="10">
      <c r="A10" s="49"/>
      <c r="B10" s="50"/>
      <c r="C10" s="76"/>
      <c r="D10" s="76"/>
    </row>
    <row r="11">
      <c r="A11" s="49"/>
      <c r="B11" s="50"/>
      <c r="C11" s="50"/>
      <c r="D11" s="50"/>
    </row>
    <row r="12">
      <c r="A12" s="49"/>
      <c r="B12" s="50"/>
      <c r="C12" s="50"/>
      <c r="D12" s="88"/>
    </row>
    <row r="13">
      <c r="A13" s="49"/>
      <c r="B13" s="50"/>
      <c r="C13" s="76"/>
      <c r="D13" s="76"/>
    </row>
    <row r="14">
      <c r="A14" s="49"/>
      <c r="B14" s="50"/>
      <c r="C14" s="50"/>
      <c r="D14" s="88"/>
    </row>
    <row r="15">
      <c r="A15" s="49"/>
      <c r="B15" s="50"/>
      <c r="C15" s="76"/>
      <c r="D15" s="76"/>
    </row>
    <row r="16">
      <c r="A16" s="49"/>
      <c r="B16" s="50"/>
      <c r="C16" s="50"/>
      <c r="D16" s="50"/>
    </row>
    <row r="17">
      <c r="A17" s="34"/>
    </row>
    <row r="18">
      <c r="A18" s="35" t="s">
        <v>92</v>
      </c>
      <c r="B18" s="89" t="s">
        <v>184</v>
      </c>
      <c r="F18" s="90"/>
      <c r="G18" s="90"/>
      <c r="H18" s="90"/>
      <c r="I18" s="90"/>
      <c r="J18" s="90"/>
      <c r="K18" s="90"/>
      <c r="L18" s="90"/>
      <c r="M18" s="90"/>
      <c r="N18" s="90"/>
      <c r="O18" s="90"/>
      <c r="P18" s="90"/>
      <c r="Q18" s="90"/>
      <c r="R18" s="90"/>
      <c r="S18" s="90"/>
      <c r="T18" s="90"/>
      <c r="U18" s="90"/>
      <c r="V18" s="90"/>
      <c r="W18" s="90"/>
      <c r="X18" s="90"/>
    </row>
    <row r="20">
      <c r="A20" s="30" t="s">
        <v>214</v>
      </c>
    </row>
    <row r="22" ht="15.75" customHeight="1">
      <c r="A22" s="37" t="s">
        <v>215</v>
      </c>
      <c r="Q22" s="38"/>
      <c r="R22" s="38"/>
      <c r="S22" s="38"/>
      <c r="T22" s="38"/>
      <c r="U22" s="38"/>
      <c r="V22" s="38"/>
      <c r="W22" s="38"/>
      <c r="X22" s="38"/>
      <c r="Y22" s="38"/>
      <c r="Z22" s="38"/>
      <c r="AA22" s="38"/>
    </row>
  </sheetData>
  <mergeCells count="3">
    <mergeCell ref="B18:E18"/>
    <mergeCell ref="A22:P22"/>
    <mergeCell ref="A20:F20"/>
  </mergeCells>
  <hyperlinks>
    <hyperlink r:id="rId1" ref="B18"/>
    <hyperlink r:id="rId2" ref="A22"/>
  </hyperlinks>
  <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3.57"/>
    <col customWidth="1" min="2" max="2" width="8.29"/>
    <col customWidth="1" min="3" max="5" width="8.0"/>
    <col customWidth="1" min="6" max="6" width="7.43"/>
    <col customWidth="1" min="7" max="7" width="8.0"/>
    <col customWidth="1" min="8" max="8" width="7.43"/>
    <col customWidth="1" min="9" max="9" width="8.29"/>
    <col customWidth="1" min="10" max="12" width="7.43"/>
    <col customWidth="1" min="13" max="13" width="8.29"/>
    <col customWidth="1" min="14" max="14" width="7.43"/>
    <col customWidth="1" min="15" max="16" width="8.29"/>
    <col customWidth="1" min="17" max="18" width="7.14"/>
    <col customWidth="1" min="19" max="19" width="8.29"/>
    <col customWidth="1" min="20" max="21" width="7.14"/>
  </cols>
  <sheetData>
    <row r="1">
      <c r="A1" s="1" t="s">
        <v>216</v>
      </c>
      <c r="B1" s="84">
        <v>44881.0</v>
      </c>
      <c r="C1" s="84">
        <v>44882.0</v>
      </c>
      <c r="D1" s="84">
        <v>44883.0</v>
      </c>
      <c r="E1" s="6" t="s">
        <v>217</v>
      </c>
      <c r="F1" s="5">
        <v>44886.0</v>
      </c>
      <c r="G1" s="40" t="s">
        <v>206</v>
      </c>
      <c r="H1" s="5">
        <v>44887.0</v>
      </c>
      <c r="I1" s="6" t="s">
        <v>218</v>
      </c>
      <c r="J1" s="5">
        <v>44888.0</v>
      </c>
      <c r="K1" s="5">
        <v>44889.0</v>
      </c>
      <c r="L1" s="5">
        <v>44893.0</v>
      </c>
      <c r="M1" s="40" t="s">
        <v>219</v>
      </c>
      <c r="N1" s="5">
        <v>44894.0</v>
      </c>
      <c r="O1" s="6" t="s">
        <v>220</v>
      </c>
      <c r="P1" s="6" t="s">
        <v>221</v>
      </c>
      <c r="Q1" s="7">
        <v>44896.0</v>
      </c>
      <c r="R1" s="7">
        <v>44897.0</v>
      </c>
      <c r="S1" s="6" t="s">
        <v>222</v>
      </c>
      <c r="T1" s="7">
        <v>44900.0</v>
      </c>
      <c r="U1" s="7">
        <v>44901.0</v>
      </c>
      <c r="V1" s="41"/>
      <c r="W1" s="41"/>
      <c r="X1" s="41"/>
      <c r="Y1" s="41"/>
      <c r="Z1" s="41"/>
    </row>
    <row r="2">
      <c r="A2" s="14" t="s">
        <v>223</v>
      </c>
      <c r="B2" s="95">
        <v>49195.0</v>
      </c>
      <c r="C2" s="98">
        <v>66119.0</v>
      </c>
      <c r="D2" s="98">
        <v>69774.0</v>
      </c>
      <c r="E2" s="17">
        <v>74859.0</v>
      </c>
      <c r="F2" s="17">
        <v>79282.0</v>
      </c>
      <c r="G2" s="17">
        <v>79282.0</v>
      </c>
      <c r="H2" s="17">
        <v>79282.0</v>
      </c>
      <c r="I2" s="17">
        <v>79562.0</v>
      </c>
      <c r="J2" s="17">
        <v>79562.0</v>
      </c>
      <c r="K2" s="17">
        <v>79562.0</v>
      </c>
      <c r="L2" s="17">
        <v>79562.0</v>
      </c>
      <c r="M2" s="17">
        <v>79562.0</v>
      </c>
      <c r="N2" s="17">
        <v>79562.0</v>
      </c>
      <c r="O2" s="17">
        <v>79794.0</v>
      </c>
      <c r="P2" s="17">
        <v>79794.0</v>
      </c>
      <c r="Q2" s="17">
        <v>79794.0</v>
      </c>
      <c r="R2" s="17">
        <v>79794.0</v>
      </c>
      <c r="S2" s="17">
        <v>79827.0</v>
      </c>
      <c r="T2" s="17">
        <v>79827.0</v>
      </c>
      <c r="U2" s="17">
        <v>79852.0</v>
      </c>
      <c r="V2" s="43"/>
      <c r="W2" s="43"/>
      <c r="X2" s="43"/>
      <c r="Y2" s="43"/>
      <c r="Z2" s="43"/>
    </row>
    <row r="3">
      <c r="A3" s="92" t="s">
        <v>224</v>
      </c>
      <c r="B3" s="12">
        <v>48289.0</v>
      </c>
      <c r="C3" s="12">
        <v>68571.0</v>
      </c>
      <c r="D3" s="12">
        <v>71632.0</v>
      </c>
      <c r="E3" s="12">
        <v>75656.0</v>
      </c>
      <c r="F3" s="12">
        <v>78771.0</v>
      </c>
      <c r="G3" s="12">
        <v>78771.0</v>
      </c>
      <c r="H3" s="12">
        <v>78771.0</v>
      </c>
      <c r="I3" s="12">
        <v>79064.0</v>
      </c>
      <c r="J3" s="12">
        <v>79064.0</v>
      </c>
      <c r="K3" s="12">
        <v>79064.0</v>
      </c>
      <c r="L3" s="12">
        <v>79064.0</v>
      </c>
      <c r="M3" s="12">
        <v>79064.0</v>
      </c>
      <c r="N3" s="12">
        <v>79064.0</v>
      </c>
      <c r="O3" s="12">
        <v>79249.0</v>
      </c>
      <c r="P3" s="12">
        <v>79249.0</v>
      </c>
      <c r="Q3" s="12">
        <v>79249.0</v>
      </c>
      <c r="R3" s="12">
        <v>79249.0</v>
      </c>
      <c r="S3" s="12">
        <v>79271.0</v>
      </c>
      <c r="T3" s="12">
        <v>79271.0</v>
      </c>
      <c r="U3" s="12">
        <v>79330.0</v>
      </c>
      <c r="V3" s="42"/>
      <c r="W3" s="42"/>
      <c r="X3" s="42"/>
      <c r="Y3" s="42"/>
      <c r="Z3" s="42"/>
    </row>
    <row r="4">
      <c r="A4" s="20" t="s">
        <v>11</v>
      </c>
      <c r="B4" s="21">
        <f>B2-B3</f>
        <v>906</v>
      </c>
      <c r="C4" s="21">
        <f t="shared" ref="C4:E4" si="1">C3-C2</f>
        <v>2452</v>
      </c>
      <c r="D4" s="21">
        <f t="shared" si="1"/>
        <v>1858</v>
      </c>
      <c r="E4" s="21">
        <f t="shared" si="1"/>
        <v>797</v>
      </c>
      <c r="F4" s="21">
        <f t="shared" ref="F4:U4" si="2">F2-F3</f>
        <v>511</v>
      </c>
      <c r="G4" s="21">
        <f t="shared" si="2"/>
        <v>511</v>
      </c>
      <c r="H4" s="21">
        <f t="shared" si="2"/>
        <v>511</v>
      </c>
      <c r="I4" s="21">
        <f t="shared" si="2"/>
        <v>498</v>
      </c>
      <c r="J4" s="21">
        <f t="shared" si="2"/>
        <v>498</v>
      </c>
      <c r="K4" s="21">
        <f t="shared" si="2"/>
        <v>498</v>
      </c>
      <c r="L4" s="21">
        <f t="shared" si="2"/>
        <v>498</v>
      </c>
      <c r="M4" s="21">
        <f t="shared" si="2"/>
        <v>498</v>
      </c>
      <c r="N4" s="21">
        <f t="shared" si="2"/>
        <v>498</v>
      </c>
      <c r="O4" s="21">
        <f t="shared" si="2"/>
        <v>545</v>
      </c>
      <c r="P4" s="21">
        <f t="shared" si="2"/>
        <v>545</v>
      </c>
      <c r="Q4" s="21">
        <f t="shared" si="2"/>
        <v>545</v>
      </c>
      <c r="R4" s="21">
        <f t="shared" si="2"/>
        <v>545</v>
      </c>
      <c r="S4" s="21">
        <f t="shared" si="2"/>
        <v>556</v>
      </c>
      <c r="T4" s="21">
        <f t="shared" si="2"/>
        <v>556</v>
      </c>
      <c r="U4" s="21">
        <f t="shared" si="2"/>
        <v>522</v>
      </c>
    </row>
    <row r="5">
      <c r="A5" s="20" t="s">
        <v>12</v>
      </c>
      <c r="B5" s="23">
        <f t="shared" ref="B5:U5" si="3">B4/sum(B2:B3)</f>
        <v>0.009293832834</v>
      </c>
      <c r="C5" s="23">
        <f t="shared" si="3"/>
        <v>0.0182047665</v>
      </c>
      <c r="D5" s="23">
        <f t="shared" si="3"/>
        <v>0.01313947074</v>
      </c>
      <c r="E5" s="23">
        <f t="shared" si="3"/>
        <v>0.005295153307</v>
      </c>
      <c r="F5" s="23">
        <f t="shared" si="3"/>
        <v>0.003233092697</v>
      </c>
      <c r="G5" s="23">
        <f t="shared" si="3"/>
        <v>0.003233092697</v>
      </c>
      <c r="H5" s="23">
        <f t="shared" si="3"/>
        <v>0.003233092697</v>
      </c>
      <c r="I5" s="23">
        <f t="shared" si="3"/>
        <v>0.003139460114</v>
      </c>
      <c r="J5" s="23">
        <f t="shared" si="3"/>
        <v>0.003139460114</v>
      </c>
      <c r="K5" s="23">
        <f t="shared" si="3"/>
        <v>0.003139460114</v>
      </c>
      <c r="L5" s="23">
        <f t="shared" si="3"/>
        <v>0.003139460114</v>
      </c>
      <c r="M5" s="23">
        <f t="shared" si="3"/>
        <v>0.003139460114</v>
      </c>
      <c r="N5" s="23">
        <f t="shared" si="3"/>
        <v>0.003139460114</v>
      </c>
      <c r="O5" s="23">
        <f t="shared" si="3"/>
        <v>0.003426746226</v>
      </c>
      <c r="P5" s="23">
        <f t="shared" si="3"/>
        <v>0.003426746226</v>
      </c>
      <c r="Q5" s="23">
        <f t="shared" si="3"/>
        <v>0.003426746226</v>
      </c>
      <c r="R5" s="23">
        <f t="shared" si="3"/>
        <v>0.003426746226</v>
      </c>
      <c r="S5" s="23">
        <f t="shared" si="3"/>
        <v>0.003494701379</v>
      </c>
      <c r="T5" s="23">
        <f t="shared" si="3"/>
        <v>0.003494701379</v>
      </c>
      <c r="U5" s="23">
        <f t="shared" si="3"/>
        <v>0.003279265244</v>
      </c>
    </row>
    <row r="6">
      <c r="A6" s="24" t="s">
        <v>13</v>
      </c>
      <c r="B6" s="81">
        <v>655300.0</v>
      </c>
      <c r="C6" s="81">
        <v>463050.0</v>
      </c>
      <c r="D6" s="81">
        <v>463050.0</v>
      </c>
      <c r="E6" s="31">
        <v>332550.0</v>
      </c>
      <c r="F6" s="31">
        <v>332550.0</v>
      </c>
      <c r="G6" s="31">
        <v>332550.0</v>
      </c>
      <c r="H6" s="31">
        <v>25250.0</v>
      </c>
      <c r="I6" s="31">
        <v>25250.0</v>
      </c>
      <c r="J6" s="31">
        <v>25250.0</v>
      </c>
      <c r="K6" s="31">
        <v>15105.0</v>
      </c>
      <c r="L6" s="31">
        <v>15105.0</v>
      </c>
      <c r="M6" s="31">
        <v>15105.0</v>
      </c>
      <c r="N6" s="31">
        <v>15105.0</v>
      </c>
      <c r="O6" s="31">
        <v>15105.0</v>
      </c>
      <c r="P6" s="31">
        <v>11405.0</v>
      </c>
      <c r="Q6" s="31">
        <v>11405.0</v>
      </c>
      <c r="R6" s="31">
        <v>11405.0</v>
      </c>
      <c r="S6" s="31">
        <v>11405.0</v>
      </c>
      <c r="T6" s="31">
        <v>11405.0</v>
      </c>
      <c r="U6" s="31">
        <v>0.0</v>
      </c>
    </row>
    <row r="7">
      <c r="A7" s="87" t="s">
        <v>91</v>
      </c>
      <c r="B7" s="81">
        <v>655300.0</v>
      </c>
      <c r="C7" s="44">
        <v>463050.0</v>
      </c>
      <c r="D7" s="44">
        <v>463050.0</v>
      </c>
      <c r="E7" s="31">
        <v>332550.0</v>
      </c>
      <c r="F7" s="31">
        <v>332550.0</v>
      </c>
      <c r="G7" s="31">
        <v>332550.0</v>
      </c>
      <c r="H7" s="31">
        <v>25250.0</v>
      </c>
      <c r="I7" s="31">
        <v>25250.0</v>
      </c>
      <c r="J7" s="31">
        <v>25250.0</v>
      </c>
      <c r="K7" s="31">
        <v>15105.0</v>
      </c>
      <c r="L7" s="31">
        <v>15105.0</v>
      </c>
      <c r="M7" s="31">
        <v>15105.0</v>
      </c>
      <c r="N7" s="31">
        <v>15105.0</v>
      </c>
      <c r="O7" s="31">
        <v>15105.0</v>
      </c>
      <c r="P7" s="31">
        <v>11405.0</v>
      </c>
      <c r="Q7" s="31">
        <v>11405.0</v>
      </c>
      <c r="R7" s="31">
        <v>11405.0</v>
      </c>
      <c r="S7" s="31">
        <v>11405.0</v>
      </c>
      <c r="T7" s="31">
        <v>11405.0</v>
      </c>
      <c r="U7" s="31">
        <v>0.0</v>
      </c>
    </row>
    <row r="8">
      <c r="A8" s="49"/>
      <c r="B8" s="50"/>
      <c r="C8" s="50"/>
      <c r="D8" s="50"/>
    </row>
    <row r="9">
      <c r="A9" s="49"/>
      <c r="B9" s="50"/>
      <c r="C9" s="76"/>
      <c r="D9" s="76"/>
    </row>
    <row r="10">
      <c r="A10" s="49"/>
      <c r="B10" s="50"/>
      <c r="C10" s="76"/>
      <c r="D10" s="76"/>
    </row>
    <row r="11">
      <c r="A11" s="49"/>
      <c r="B11" s="50"/>
      <c r="C11" s="50"/>
      <c r="D11" s="50"/>
    </row>
    <row r="12">
      <c r="A12" s="49"/>
      <c r="B12" s="50"/>
      <c r="C12" s="50"/>
      <c r="D12" s="88"/>
    </row>
    <row r="13">
      <c r="A13" s="49"/>
      <c r="B13" s="50"/>
      <c r="C13" s="76"/>
      <c r="D13" s="76"/>
    </row>
    <row r="14">
      <c r="A14" s="49"/>
      <c r="B14" s="50"/>
      <c r="C14" s="50"/>
      <c r="D14" s="88"/>
    </row>
    <row r="15">
      <c r="A15" s="49"/>
      <c r="B15" s="50"/>
      <c r="C15" s="76"/>
      <c r="D15" s="76"/>
    </row>
    <row r="16">
      <c r="A16" s="49"/>
      <c r="B16" s="50"/>
      <c r="C16" s="50"/>
      <c r="D16" s="50"/>
    </row>
    <row r="17">
      <c r="A17" s="34"/>
    </row>
    <row r="18">
      <c r="A18" s="35" t="s">
        <v>92</v>
      </c>
      <c r="B18" s="99" t="s">
        <v>225</v>
      </c>
      <c r="M18" s="99"/>
      <c r="N18" s="99"/>
      <c r="O18" s="99"/>
      <c r="P18" s="99"/>
      <c r="Q18" s="99"/>
      <c r="R18" s="99"/>
      <c r="S18" s="99"/>
      <c r="T18" s="99"/>
      <c r="U18" s="99"/>
      <c r="V18" s="99"/>
      <c r="W18" s="99"/>
      <c r="X18" s="99"/>
    </row>
    <row r="20">
      <c r="A20" s="30" t="s">
        <v>226</v>
      </c>
    </row>
    <row r="22" ht="15.75" customHeight="1">
      <c r="A22" s="37" t="s">
        <v>227</v>
      </c>
    </row>
  </sheetData>
  <mergeCells count="3">
    <mergeCell ref="B18:L18"/>
    <mergeCell ref="A22:M22"/>
    <mergeCell ref="A20:F20"/>
  </mergeCells>
  <hyperlinks>
    <hyperlink r:id="rId1" ref="B18"/>
    <hyperlink r:id="rId2" ref="A22"/>
  </hyperlinks>
  <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1.57"/>
    <col customWidth="1" min="2" max="3" width="8.0"/>
    <col customWidth="1" min="4" max="4" width="7.43"/>
    <col customWidth="1" min="5" max="5" width="8.29"/>
    <col customWidth="1" min="6" max="6" width="9.29"/>
    <col customWidth="1" min="7" max="10" width="8.43"/>
    <col customWidth="1" min="11" max="24" width="9.57"/>
  </cols>
  <sheetData>
    <row r="1">
      <c r="A1" s="1" t="s">
        <v>228</v>
      </c>
      <c r="B1" s="84">
        <v>44881.0</v>
      </c>
      <c r="C1" s="84">
        <v>44882.0</v>
      </c>
      <c r="D1" s="84">
        <v>44883.0</v>
      </c>
      <c r="E1" s="6" t="s">
        <v>229</v>
      </c>
      <c r="F1" s="5">
        <v>44886.0</v>
      </c>
      <c r="G1" s="40" t="s">
        <v>230</v>
      </c>
      <c r="H1" s="5">
        <v>44887.0</v>
      </c>
      <c r="I1" s="6" t="s">
        <v>231</v>
      </c>
      <c r="J1" s="5">
        <v>44888.0</v>
      </c>
      <c r="K1" s="5">
        <v>44889.0</v>
      </c>
      <c r="L1" s="5">
        <v>44893.0</v>
      </c>
      <c r="M1" s="6" t="s">
        <v>232</v>
      </c>
      <c r="N1" s="5">
        <v>44894.0</v>
      </c>
      <c r="O1" s="6" t="s">
        <v>233</v>
      </c>
      <c r="P1" s="6" t="s">
        <v>234</v>
      </c>
      <c r="Q1" s="7">
        <v>44896.0</v>
      </c>
      <c r="R1" s="7">
        <v>44897.0</v>
      </c>
      <c r="S1" s="6" t="s">
        <v>235</v>
      </c>
      <c r="T1" s="7">
        <v>44900.0</v>
      </c>
      <c r="U1" s="7">
        <v>44901.0</v>
      </c>
      <c r="V1" s="6" t="s">
        <v>236</v>
      </c>
      <c r="W1" s="7">
        <v>44902.0</v>
      </c>
      <c r="X1" s="7">
        <v>44903.0</v>
      </c>
      <c r="Y1" s="41"/>
      <c r="Z1" s="41"/>
    </row>
    <row r="2" ht="14.25" customHeight="1">
      <c r="A2" s="100" t="s">
        <v>237</v>
      </c>
      <c r="B2" s="12">
        <v>67839.0</v>
      </c>
      <c r="C2" s="12">
        <v>75934.0</v>
      </c>
      <c r="D2" s="12">
        <v>78363.0</v>
      </c>
      <c r="E2" s="12">
        <v>80034.0</v>
      </c>
      <c r="F2" s="12">
        <v>82819.0</v>
      </c>
      <c r="G2" s="12">
        <v>82819.0</v>
      </c>
      <c r="H2" s="12">
        <v>83192.0</v>
      </c>
      <c r="I2" s="12">
        <v>83284.0</v>
      </c>
      <c r="J2" s="12">
        <v>83284.0</v>
      </c>
      <c r="K2" s="12">
        <v>83926.0</v>
      </c>
      <c r="L2" s="12">
        <v>83926.0</v>
      </c>
      <c r="M2" s="12">
        <v>83926.0</v>
      </c>
      <c r="N2" s="12">
        <v>83926.0</v>
      </c>
      <c r="O2" s="12">
        <v>84420.0</v>
      </c>
      <c r="P2" s="12">
        <v>84434.0</v>
      </c>
      <c r="Q2" s="12">
        <v>84434.0</v>
      </c>
      <c r="R2" s="12">
        <v>84647.0</v>
      </c>
      <c r="S2" s="12">
        <v>84669.0</v>
      </c>
      <c r="T2" s="12">
        <v>84669.0</v>
      </c>
      <c r="U2" s="12">
        <v>84686.0</v>
      </c>
      <c r="V2" s="12">
        <v>84686.0</v>
      </c>
      <c r="W2" s="12">
        <v>84723.0</v>
      </c>
      <c r="X2" s="12">
        <v>84752.0</v>
      </c>
      <c r="Y2" s="42"/>
      <c r="Z2" s="42"/>
    </row>
    <row r="3">
      <c r="A3" s="14" t="s">
        <v>238</v>
      </c>
      <c r="B3" s="95">
        <v>68962.0</v>
      </c>
      <c r="C3" s="98">
        <v>77173.0</v>
      </c>
      <c r="D3" s="98">
        <v>79501.0</v>
      </c>
      <c r="E3" s="17">
        <v>80637.0</v>
      </c>
      <c r="F3" s="17">
        <v>82828.0</v>
      </c>
      <c r="G3" s="17">
        <v>82828.0</v>
      </c>
      <c r="H3" s="17">
        <v>83289.0</v>
      </c>
      <c r="I3" s="17">
        <v>83352.0</v>
      </c>
      <c r="J3" s="17">
        <v>83352.0</v>
      </c>
      <c r="K3" s="17">
        <v>83978.0</v>
      </c>
      <c r="L3" s="17">
        <v>83978.0</v>
      </c>
      <c r="M3" s="17">
        <v>83978.0</v>
      </c>
      <c r="N3" s="17">
        <v>83978.0</v>
      </c>
      <c r="O3" s="17">
        <v>84408.0</v>
      </c>
      <c r="P3" s="17">
        <v>84455.0</v>
      </c>
      <c r="Q3" s="17">
        <v>84455.0</v>
      </c>
      <c r="R3" s="17">
        <v>84627.0</v>
      </c>
      <c r="S3" s="17">
        <v>84635.0</v>
      </c>
      <c r="T3" s="17">
        <v>84635.0</v>
      </c>
      <c r="U3" s="17">
        <v>84651.0</v>
      </c>
      <c r="V3" s="17">
        <v>84651.0</v>
      </c>
      <c r="W3" s="17">
        <v>84654.0</v>
      </c>
      <c r="X3" s="17">
        <v>84667.0</v>
      </c>
      <c r="Y3" s="43"/>
      <c r="Z3" s="43"/>
    </row>
    <row r="4">
      <c r="A4" s="20" t="s">
        <v>11</v>
      </c>
      <c r="B4" s="21">
        <f t="shared" ref="B4:N4" si="1">B3-B2</f>
        <v>1123</v>
      </c>
      <c r="C4" s="21">
        <f t="shared" si="1"/>
        <v>1239</v>
      </c>
      <c r="D4" s="21">
        <f t="shared" si="1"/>
        <v>1138</v>
      </c>
      <c r="E4" s="21">
        <f t="shared" si="1"/>
        <v>603</v>
      </c>
      <c r="F4" s="21">
        <f t="shared" si="1"/>
        <v>9</v>
      </c>
      <c r="G4" s="21">
        <f t="shared" si="1"/>
        <v>9</v>
      </c>
      <c r="H4" s="21">
        <f t="shared" si="1"/>
        <v>97</v>
      </c>
      <c r="I4" s="21">
        <f t="shared" si="1"/>
        <v>68</v>
      </c>
      <c r="J4" s="21">
        <f t="shared" si="1"/>
        <v>68</v>
      </c>
      <c r="K4" s="21">
        <f t="shared" si="1"/>
        <v>52</v>
      </c>
      <c r="L4" s="21">
        <f t="shared" si="1"/>
        <v>52</v>
      </c>
      <c r="M4" s="21">
        <f t="shared" si="1"/>
        <v>52</v>
      </c>
      <c r="N4" s="21">
        <f t="shared" si="1"/>
        <v>52</v>
      </c>
      <c r="O4" s="21">
        <f>O2-O3</f>
        <v>12</v>
      </c>
      <c r="P4" s="21">
        <f t="shared" ref="P4:Q4" si="2">P3-P2</f>
        <v>21</v>
      </c>
      <c r="Q4" s="21">
        <f t="shared" si="2"/>
        <v>21</v>
      </c>
      <c r="R4" s="21">
        <f t="shared" ref="R4:X4" si="3">R2-R3</f>
        <v>20</v>
      </c>
      <c r="S4" s="21">
        <f t="shared" si="3"/>
        <v>34</v>
      </c>
      <c r="T4" s="21">
        <f t="shared" si="3"/>
        <v>34</v>
      </c>
      <c r="U4" s="21">
        <f t="shared" si="3"/>
        <v>35</v>
      </c>
      <c r="V4" s="21">
        <f t="shared" si="3"/>
        <v>35</v>
      </c>
      <c r="W4" s="21">
        <f t="shared" si="3"/>
        <v>69</v>
      </c>
      <c r="X4" s="21">
        <f t="shared" si="3"/>
        <v>85</v>
      </c>
    </row>
    <row r="5">
      <c r="A5" s="20" t="s">
        <v>12</v>
      </c>
      <c r="B5" s="23">
        <f t="shared" ref="B5:X5" si="4">B4/sum(B2:B3)</f>
        <v>0.00820900432</v>
      </c>
      <c r="C5" s="23">
        <f t="shared" si="4"/>
        <v>0.008092379839</v>
      </c>
      <c r="D5" s="23">
        <f t="shared" si="4"/>
        <v>0.007208736634</v>
      </c>
      <c r="E5" s="23">
        <f t="shared" si="4"/>
        <v>0.003753010811</v>
      </c>
      <c r="F5" s="101">
        <f t="shared" si="4"/>
        <v>0.00005433240566</v>
      </c>
      <c r="G5" s="101">
        <f t="shared" si="4"/>
        <v>0.00005433240566</v>
      </c>
      <c r="H5" s="101">
        <f t="shared" si="4"/>
        <v>0.0005826490711</v>
      </c>
      <c r="I5" s="101">
        <f t="shared" si="4"/>
        <v>0.0004080750858</v>
      </c>
      <c r="J5" s="101">
        <f t="shared" si="4"/>
        <v>0.0004080750858</v>
      </c>
      <c r="K5" s="101">
        <f t="shared" si="4"/>
        <v>0.0003097007814</v>
      </c>
      <c r="L5" s="101">
        <f t="shared" si="4"/>
        <v>0.0003097007814</v>
      </c>
      <c r="M5" s="101">
        <f t="shared" si="4"/>
        <v>0.0003097007814</v>
      </c>
      <c r="N5" s="101">
        <f t="shared" si="4"/>
        <v>0.0003097007814</v>
      </c>
      <c r="O5" s="101">
        <f t="shared" si="4"/>
        <v>0.00007107825716</v>
      </c>
      <c r="P5" s="101">
        <f t="shared" si="4"/>
        <v>0.0001243420235</v>
      </c>
      <c r="Q5" s="101">
        <f t="shared" si="4"/>
        <v>0.0001243420235</v>
      </c>
      <c r="R5" s="101">
        <f t="shared" si="4"/>
        <v>0.0001181516358</v>
      </c>
      <c r="S5" s="101">
        <f t="shared" si="4"/>
        <v>0.0002008221897</v>
      </c>
      <c r="T5" s="101">
        <f t="shared" si="4"/>
        <v>0.0002008221897</v>
      </c>
      <c r="U5" s="101">
        <f t="shared" si="4"/>
        <v>0.0002066884378</v>
      </c>
      <c r="V5" s="101">
        <f t="shared" si="4"/>
        <v>0.0002066884378</v>
      </c>
      <c r="W5" s="101">
        <f t="shared" si="4"/>
        <v>0.0004073752635</v>
      </c>
      <c r="X5" s="101">
        <f t="shared" si="4"/>
        <v>0.0005017146837</v>
      </c>
    </row>
    <row r="6">
      <c r="A6" s="24" t="s">
        <v>13</v>
      </c>
      <c r="B6" s="81">
        <f t="shared" ref="B6:X6" si="5">sum(B7:B8)</f>
        <v>192300</v>
      </c>
      <c r="C6" s="81">
        <f t="shared" si="5"/>
        <v>116500</v>
      </c>
      <c r="D6" s="81">
        <f t="shared" si="5"/>
        <v>92500</v>
      </c>
      <c r="E6" s="81">
        <f t="shared" si="5"/>
        <v>46700</v>
      </c>
      <c r="F6" s="81">
        <f t="shared" si="5"/>
        <v>30700</v>
      </c>
      <c r="G6" s="81">
        <f t="shared" si="5"/>
        <v>30700</v>
      </c>
      <c r="H6" s="81">
        <f t="shared" si="5"/>
        <v>20300</v>
      </c>
      <c r="I6" s="81">
        <f t="shared" si="5"/>
        <v>18600</v>
      </c>
      <c r="J6" s="81">
        <f t="shared" si="5"/>
        <v>18600</v>
      </c>
      <c r="K6" s="81">
        <f t="shared" si="5"/>
        <v>14600</v>
      </c>
      <c r="L6" s="81">
        <f t="shared" si="5"/>
        <v>14600</v>
      </c>
      <c r="M6" s="81">
        <f t="shared" si="5"/>
        <v>14600</v>
      </c>
      <c r="N6" s="81">
        <f t="shared" si="5"/>
        <v>14600</v>
      </c>
      <c r="O6" s="81">
        <f t="shared" si="5"/>
        <v>5425</v>
      </c>
      <c r="P6" s="81">
        <f t="shared" si="5"/>
        <v>4650</v>
      </c>
      <c r="Q6" s="81">
        <f t="shared" si="5"/>
        <v>4650</v>
      </c>
      <c r="R6" s="81">
        <f t="shared" si="5"/>
        <v>3150</v>
      </c>
      <c r="S6" s="81">
        <f t="shared" si="5"/>
        <v>2250</v>
      </c>
      <c r="T6" s="81">
        <f t="shared" si="5"/>
        <v>2250</v>
      </c>
      <c r="U6" s="81">
        <f t="shared" si="5"/>
        <v>2050</v>
      </c>
      <c r="V6" s="81">
        <f t="shared" si="5"/>
        <v>2050</v>
      </c>
      <c r="W6" s="81">
        <f t="shared" si="5"/>
        <v>1851</v>
      </c>
      <c r="X6" s="81">
        <f t="shared" si="5"/>
        <v>0</v>
      </c>
    </row>
    <row r="7">
      <c r="A7" s="87" t="s">
        <v>120</v>
      </c>
      <c r="B7" s="81">
        <v>67000.0</v>
      </c>
      <c r="C7" s="44">
        <v>27000.0</v>
      </c>
      <c r="D7" s="44">
        <v>47000.0</v>
      </c>
      <c r="E7" s="31">
        <v>27000.0</v>
      </c>
      <c r="F7" s="31">
        <v>15000.0</v>
      </c>
      <c r="G7" s="31">
        <v>15000.0</v>
      </c>
      <c r="H7" s="31">
        <v>8000.0</v>
      </c>
      <c r="I7" s="31">
        <v>8000.0</v>
      </c>
      <c r="J7" s="31">
        <v>8000.0</v>
      </c>
      <c r="K7" s="31">
        <v>4000.0</v>
      </c>
      <c r="L7" s="31">
        <v>4000.0</v>
      </c>
      <c r="M7" s="31">
        <v>4000.0</v>
      </c>
      <c r="N7" s="31">
        <v>4000.0</v>
      </c>
      <c r="O7" s="31">
        <v>1000.0</v>
      </c>
      <c r="P7" s="31">
        <v>1000.0</v>
      </c>
      <c r="Q7" s="31">
        <v>1000.0</v>
      </c>
      <c r="R7" s="30">
        <v>0.0</v>
      </c>
      <c r="S7" s="30">
        <v>0.0</v>
      </c>
      <c r="T7" s="30">
        <v>0.0</v>
      </c>
      <c r="U7" s="30">
        <v>0.0</v>
      </c>
      <c r="V7" s="30">
        <v>0.0</v>
      </c>
      <c r="W7" s="30">
        <v>0.0</v>
      </c>
      <c r="X7" s="30">
        <v>0.0</v>
      </c>
    </row>
    <row r="8">
      <c r="A8" s="87" t="s">
        <v>239</v>
      </c>
      <c r="B8" s="44">
        <v>125300.0</v>
      </c>
      <c r="C8" s="44">
        <v>89500.0</v>
      </c>
      <c r="D8" s="44">
        <v>45500.0</v>
      </c>
      <c r="E8" s="31">
        <v>19700.0</v>
      </c>
      <c r="F8" s="31">
        <v>15700.0</v>
      </c>
      <c r="G8" s="31">
        <v>15700.0</v>
      </c>
      <c r="H8" s="31">
        <v>12300.0</v>
      </c>
      <c r="I8" s="31">
        <v>10600.0</v>
      </c>
      <c r="J8" s="31">
        <v>10600.0</v>
      </c>
      <c r="K8" s="31">
        <v>10600.0</v>
      </c>
      <c r="L8" s="31">
        <v>10600.0</v>
      </c>
      <c r="M8" s="31">
        <v>10600.0</v>
      </c>
      <c r="N8" s="31">
        <v>10600.0</v>
      </c>
      <c r="O8" s="31">
        <v>4425.0</v>
      </c>
      <c r="P8" s="31">
        <v>3650.0</v>
      </c>
      <c r="Q8" s="31">
        <v>3650.0</v>
      </c>
      <c r="R8" s="31">
        <v>3150.0</v>
      </c>
      <c r="S8" s="31">
        <v>2250.0</v>
      </c>
      <c r="T8" s="31">
        <v>2250.0</v>
      </c>
      <c r="U8" s="31">
        <v>2050.0</v>
      </c>
      <c r="V8" s="31">
        <v>2050.0</v>
      </c>
      <c r="W8" s="31">
        <v>1851.0</v>
      </c>
      <c r="X8" s="30">
        <v>0.0</v>
      </c>
    </row>
    <row r="9">
      <c r="A9" s="49"/>
      <c r="B9" s="50"/>
      <c r="C9" s="76"/>
      <c r="D9" s="76"/>
    </row>
    <row r="10">
      <c r="A10" s="49"/>
      <c r="B10" s="50"/>
      <c r="C10" s="76"/>
      <c r="D10" s="76"/>
    </row>
    <row r="11">
      <c r="A11" s="49"/>
      <c r="B11" s="50"/>
      <c r="C11" s="50"/>
      <c r="D11" s="50"/>
    </row>
    <row r="12">
      <c r="A12" s="49"/>
      <c r="B12" s="50"/>
      <c r="C12" s="50"/>
      <c r="D12" s="88"/>
    </row>
    <row r="13">
      <c r="A13" s="49"/>
      <c r="B13" s="50"/>
      <c r="C13" s="76"/>
      <c r="D13" s="76"/>
    </row>
    <row r="14">
      <c r="A14" s="49"/>
      <c r="B14" s="50"/>
      <c r="C14" s="50"/>
      <c r="D14" s="88"/>
    </row>
    <row r="15">
      <c r="A15" s="49"/>
      <c r="B15" s="50"/>
      <c r="C15" s="76"/>
      <c r="D15" s="76"/>
    </row>
    <row r="16">
      <c r="A16" s="49"/>
      <c r="B16" s="50"/>
      <c r="C16" s="50"/>
      <c r="D16" s="50"/>
    </row>
    <row r="17">
      <c r="A17" s="34"/>
    </row>
    <row r="18">
      <c r="A18" s="35" t="s">
        <v>92</v>
      </c>
      <c r="B18" s="89" t="s">
        <v>240</v>
      </c>
    </row>
    <row r="20" ht="35.25" customHeight="1">
      <c r="A20" s="30" t="s">
        <v>241</v>
      </c>
      <c r="G20" s="47"/>
      <c r="H20" s="47"/>
      <c r="I20" s="47"/>
      <c r="J20" s="47"/>
      <c r="K20" s="47"/>
      <c r="L20" s="47"/>
      <c r="M20" s="47"/>
    </row>
    <row r="21" ht="15.75" customHeight="1">
      <c r="A21" s="47"/>
      <c r="B21" s="47"/>
      <c r="C21" s="47"/>
      <c r="D21" s="47"/>
      <c r="E21" s="47"/>
      <c r="F21" s="47"/>
      <c r="G21" s="47"/>
      <c r="H21" s="47"/>
      <c r="I21" s="47"/>
      <c r="J21" s="47"/>
      <c r="K21" s="47"/>
      <c r="L21" s="47"/>
      <c r="M21" s="47"/>
    </row>
    <row r="22" ht="15.75" customHeight="1">
      <c r="A22" s="37" t="s">
        <v>242</v>
      </c>
    </row>
  </sheetData>
  <mergeCells count="3">
    <mergeCell ref="B18:X18"/>
    <mergeCell ref="A22:M22"/>
    <mergeCell ref="A20:F20"/>
  </mergeCells>
  <hyperlinks>
    <hyperlink r:id="rId1" ref="B18"/>
    <hyperlink r:id="rId2" ref="A22"/>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29"/>
    <col customWidth="1" min="2" max="2" width="9.71"/>
    <col customWidth="1" min="3" max="3" width="8.57"/>
    <col customWidth="1" min="4" max="4" width="8.43"/>
    <col customWidth="1" min="5" max="5" width="10.0"/>
    <col customWidth="1" min="6" max="6" width="8.0"/>
    <col customWidth="1" min="7" max="7" width="8.43"/>
    <col customWidth="1" min="8" max="8" width="8.29"/>
    <col customWidth="1" min="9" max="9" width="9.71"/>
    <col customWidth="1" min="10" max="13" width="8.0"/>
    <col customWidth="1" min="14" max="14" width="8.29"/>
    <col customWidth="1" min="15" max="15" width="7.43"/>
    <col customWidth="1" min="16" max="17" width="8.29"/>
    <col customWidth="1" min="18" max="19" width="8.0"/>
    <col customWidth="1" min="20" max="20" width="8.29"/>
    <col customWidth="1" min="21" max="22" width="8.0"/>
  </cols>
  <sheetData>
    <row r="1">
      <c r="A1" s="1" t="s">
        <v>243</v>
      </c>
      <c r="B1" s="3">
        <v>44880.0</v>
      </c>
      <c r="C1" s="3">
        <v>44881.0</v>
      </c>
      <c r="D1" s="3">
        <v>44882.0</v>
      </c>
      <c r="E1" s="3">
        <v>44883.0</v>
      </c>
      <c r="F1" s="6" t="s">
        <v>244</v>
      </c>
      <c r="G1" s="5">
        <v>44886.0</v>
      </c>
      <c r="H1" s="102" t="s">
        <v>245</v>
      </c>
      <c r="I1" s="5">
        <v>44887.0</v>
      </c>
      <c r="J1" s="6" t="s">
        <v>246</v>
      </c>
      <c r="K1" s="5">
        <v>44888.0</v>
      </c>
      <c r="L1" s="5">
        <v>44889.0</v>
      </c>
      <c r="M1" s="5">
        <v>44893.0</v>
      </c>
      <c r="N1" s="6" t="s">
        <v>247</v>
      </c>
      <c r="O1" s="5">
        <v>44894.0</v>
      </c>
      <c r="P1" s="6" t="s">
        <v>248</v>
      </c>
      <c r="Q1" s="6" t="s">
        <v>249</v>
      </c>
      <c r="R1" s="7">
        <v>44896.0</v>
      </c>
      <c r="S1" s="7">
        <v>44897.0</v>
      </c>
      <c r="T1" s="6" t="s">
        <v>250</v>
      </c>
      <c r="U1" s="7">
        <v>44900.0</v>
      </c>
      <c r="V1" s="7">
        <v>44901.0</v>
      </c>
      <c r="W1" s="41"/>
      <c r="X1" s="41"/>
      <c r="Y1" s="41"/>
      <c r="Z1" s="41"/>
    </row>
    <row r="2">
      <c r="A2" s="14" t="s">
        <v>251</v>
      </c>
      <c r="B2" s="16">
        <v>354948.0</v>
      </c>
      <c r="C2" s="16">
        <v>375143.0</v>
      </c>
      <c r="D2" s="17">
        <v>403427.0</v>
      </c>
      <c r="E2" s="17">
        <v>436807.0</v>
      </c>
      <c r="F2" s="17">
        <v>471976.0</v>
      </c>
      <c r="G2" s="17">
        <v>506372.0</v>
      </c>
      <c r="H2" s="17">
        <v>506372.0</v>
      </c>
      <c r="I2" s="17">
        <v>506372.0</v>
      </c>
      <c r="J2" s="17">
        <v>508860.0</v>
      </c>
      <c r="K2" s="17">
        <v>508860.0</v>
      </c>
      <c r="L2" s="17">
        <v>508860.0</v>
      </c>
      <c r="M2" s="17">
        <v>508860.0</v>
      </c>
      <c r="N2" s="17">
        <v>508860.0</v>
      </c>
      <c r="O2" s="17">
        <v>508860.0</v>
      </c>
      <c r="P2" s="17">
        <v>509621.0</v>
      </c>
      <c r="Q2" s="17">
        <v>509621.0</v>
      </c>
      <c r="R2" s="17">
        <v>509621.0</v>
      </c>
      <c r="S2" s="17">
        <v>509621.0</v>
      </c>
      <c r="T2" s="17">
        <v>509852.0</v>
      </c>
      <c r="U2" s="17">
        <v>509852.0</v>
      </c>
      <c r="V2" s="17">
        <v>509944.0</v>
      </c>
      <c r="W2" s="43"/>
      <c r="X2" s="43"/>
      <c r="Y2" s="43"/>
      <c r="Z2" s="43"/>
    </row>
    <row r="3">
      <c r="A3" s="9" t="s">
        <v>252</v>
      </c>
      <c r="B3" s="11">
        <v>325677.0</v>
      </c>
      <c r="C3" s="11">
        <v>338794.0</v>
      </c>
      <c r="D3" s="12">
        <v>356849.0</v>
      </c>
      <c r="E3" s="12">
        <v>376769.0</v>
      </c>
      <c r="F3" s="12">
        <v>397946.0</v>
      </c>
      <c r="G3" s="12">
        <v>417375.0</v>
      </c>
      <c r="H3" s="12">
        <v>417375.0</v>
      </c>
      <c r="I3" s="12">
        <v>417375.0</v>
      </c>
      <c r="J3" s="12">
        <v>419087.0</v>
      </c>
      <c r="K3" s="12">
        <v>419087.0</v>
      </c>
      <c r="L3" s="12">
        <v>419087.0</v>
      </c>
      <c r="M3" s="12">
        <v>419087.0</v>
      </c>
      <c r="N3" s="12">
        <v>419087.0</v>
      </c>
      <c r="O3" s="12">
        <v>419087.0</v>
      </c>
      <c r="P3" s="12">
        <v>419765.0</v>
      </c>
      <c r="Q3" s="12">
        <v>419765.0</v>
      </c>
      <c r="R3" s="12">
        <v>419765.0</v>
      </c>
      <c r="S3" s="12">
        <v>419765.0</v>
      </c>
      <c r="T3" s="12">
        <v>419950.0</v>
      </c>
      <c r="U3" s="12">
        <v>419950.0</v>
      </c>
      <c r="V3" s="12">
        <v>420030.0</v>
      </c>
      <c r="W3" s="42"/>
      <c r="X3" s="42"/>
      <c r="Y3" s="42"/>
      <c r="Z3" s="42"/>
    </row>
    <row r="4">
      <c r="A4" s="20" t="s">
        <v>11</v>
      </c>
      <c r="B4" s="103">
        <f t="shared" ref="B4:V4" si="1">B2-B3</f>
        <v>29271</v>
      </c>
      <c r="C4" s="103">
        <f t="shared" si="1"/>
        <v>36349</v>
      </c>
      <c r="D4" s="103">
        <f t="shared" si="1"/>
        <v>46578</v>
      </c>
      <c r="E4" s="103">
        <f t="shared" si="1"/>
        <v>60038</v>
      </c>
      <c r="F4" s="103">
        <f t="shared" si="1"/>
        <v>74030</v>
      </c>
      <c r="G4" s="103">
        <f t="shared" si="1"/>
        <v>88997</v>
      </c>
      <c r="H4" s="103">
        <f t="shared" si="1"/>
        <v>88997</v>
      </c>
      <c r="I4" s="103">
        <f t="shared" si="1"/>
        <v>88997</v>
      </c>
      <c r="J4" s="103">
        <f t="shared" si="1"/>
        <v>89773</v>
      </c>
      <c r="K4" s="103">
        <f t="shared" si="1"/>
        <v>89773</v>
      </c>
      <c r="L4" s="103">
        <f t="shared" si="1"/>
        <v>89773</v>
      </c>
      <c r="M4" s="103">
        <f t="shared" si="1"/>
        <v>89773</v>
      </c>
      <c r="N4" s="103">
        <f t="shared" si="1"/>
        <v>89773</v>
      </c>
      <c r="O4" s="103">
        <f t="shared" si="1"/>
        <v>89773</v>
      </c>
      <c r="P4" s="103">
        <f t="shared" si="1"/>
        <v>89856</v>
      </c>
      <c r="Q4" s="103">
        <f t="shared" si="1"/>
        <v>89856</v>
      </c>
      <c r="R4" s="103">
        <f t="shared" si="1"/>
        <v>89856</v>
      </c>
      <c r="S4" s="103">
        <f t="shared" si="1"/>
        <v>89856</v>
      </c>
      <c r="T4" s="103">
        <f t="shared" si="1"/>
        <v>89902</v>
      </c>
      <c r="U4" s="103">
        <f t="shared" si="1"/>
        <v>89902</v>
      </c>
      <c r="V4" s="103">
        <f t="shared" si="1"/>
        <v>89914</v>
      </c>
    </row>
    <row r="5">
      <c r="A5" s="20" t="s">
        <v>12</v>
      </c>
      <c r="B5" s="23">
        <f t="shared" ref="B5:V5" si="2">B4/sum(B2:B3)</f>
        <v>0.04300606061</v>
      </c>
      <c r="C5" s="23">
        <f t="shared" si="2"/>
        <v>0.05091345595</v>
      </c>
      <c r="D5" s="23">
        <f t="shared" si="2"/>
        <v>0.06126459338</v>
      </c>
      <c r="E5" s="23">
        <f t="shared" si="2"/>
        <v>0.07379519553</v>
      </c>
      <c r="F5" s="23">
        <f t="shared" si="2"/>
        <v>0.08509958364</v>
      </c>
      <c r="G5" s="23">
        <f t="shared" si="2"/>
        <v>0.09634347933</v>
      </c>
      <c r="H5" s="23">
        <f t="shared" si="2"/>
        <v>0.09634347933</v>
      </c>
      <c r="I5" s="23">
        <f t="shared" si="2"/>
        <v>0.09634347933</v>
      </c>
      <c r="J5" s="23">
        <f t="shared" si="2"/>
        <v>0.09674367178</v>
      </c>
      <c r="K5" s="23">
        <f t="shared" si="2"/>
        <v>0.09674367178</v>
      </c>
      <c r="L5" s="23">
        <f t="shared" si="2"/>
        <v>0.09674367178</v>
      </c>
      <c r="M5" s="23">
        <f t="shared" si="2"/>
        <v>0.09674367178</v>
      </c>
      <c r="N5" s="23">
        <f t="shared" si="2"/>
        <v>0.09674367178</v>
      </c>
      <c r="O5" s="23">
        <f t="shared" si="2"/>
        <v>0.09674367178</v>
      </c>
      <c r="P5" s="23">
        <f t="shared" si="2"/>
        <v>0.09668318653</v>
      </c>
      <c r="Q5" s="23">
        <f t="shared" si="2"/>
        <v>0.09668318653</v>
      </c>
      <c r="R5" s="23">
        <f t="shared" si="2"/>
        <v>0.09668318653</v>
      </c>
      <c r="S5" s="23">
        <f t="shared" si="2"/>
        <v>0.09668318653</v>
      </c>
      <c r="T5" s="23">
        <f t="shared" si="2"/>
        <v>0.09668940269</v>
      </c>
      <c r="U5" s="23">
        <f t="shared" si="2"/>
        <v>0.09668940269</v>
      </c>
      <c r="V5" s="23">
        <f t="shared" si="2"/>
        <v>0.09668442344</v>
      </c>
    </row>
    <row r="6">
      <c r="A6" s="24" t="s">
        <v>13</v>
      </c>
      <c r="B6" s="21">
        <v>1006300.0</v>
      </c>
      <c r="C6" s="32">
        <v>655300.0</v>
      </c>
      <c r="D6" s="31">
        <v>463050.0</v>
      </c>
      <c r="E6" s="31">
        <v>463050.0</v>
      </c>
      <c r="F6" s="31">
        <v>332550.0</v>
      </c>
      <c r="G6" s="31">
        <v>332550.0</v>
      </c>
      <c r="H6" s="31">
        <v>332550.0</v>
      </c>
      <c r="I6" s="31">
        <v>25250.0</v>
      </c>
      <c r="J6" s="31">
        <v>25250.0</v>
      </c>
      <c r="K6" s="31">
        <v>25250.0</v>
      </c>
      <c r="L6" s="31">
        <v>15105.0</v>
      </c>
      <c r="M6" s="31">
        <v>15105.0</v>
      </c>
      <c r="N6" s="31">
        <v>15105.0</v>
      </c>
      <c r="O6" s="31">
        <v>15105.0</v>
      </c>
      <c r="P6" s="31">
        <v>15105.0</v>
      </c>
      <c r="Q6" s="31">
        <v>11405.0</v>
      </c>
      <c r="R6" s="31">
        <v>11405.0</v>
      </c>
      <c r="S6" s="31">
        <v>11405.0</v>
      </c>
      <c r="T6" s="31">
        <v>11405.0</v>
      </c>
      <c r="U6" s="31">
        <v>11405.0</v>
      </c>
      <c r="V6" s="31">
        <v>0.0</v>
      </c>
    </row>
    <row r="7">
      <c r="A7" s="49"/>
      <c r="B7" s="27"/>
    </row>
    <row r="8">
      <c r="A8" s="49"/>
      <c r="B8" s="88"/>
    </row>
    <row r="9">
      <c r="A9" s="34"/>
    </row>
    <row r="10">
      <c r="A10" s="34"/>
    </row>
    <row r="11">
      <c r="A11" s="34"/>
    </row>
    <row r="12">
      <c r="A12" s="34"/>
    </row>
    <row r="13">
      <c r="A13" s="34"/>
    </row>
    <row r="14">
      <c r="A14" s="34"/>
    </row>
    <row r="15">
      <c r="A15" s="34"/>
    </row>
    <row r="16">
      <c r="A16" s="34"/>
    </row>
    <row r="17">
      <c r="A17" s="34"/>
    </row>
    <row r="18" ht="33.75" customHeight="1">
      <c r="A18" s="35" t="s">
        <v>92</v>
      </c>
      <c r="B18" s="83" t="s">
        <v>253</v>
      </c>
    </row>
    <row r="20">
      <c r="A20" s="30" t="s">
        <v>254</v>
      </c>
    </row>
    <row r="21">
      <c r="A21" s="47"/>
      <c r="B21" s="47"/>
      <c r="C21" s="47"/>
      <c r="D21" s="47"/>
      <c r="E21" s="47"/>
      <c r="F21" s="47"/>
      <c r="G21" s="47"/>
      <c r="H21" s="47"/>
      <c r="I21" s="47"/>
    </row>
    <row r="22">
      <c r="A22" s="37" t="s">
        <v>255</v>
      </c>
    </row>
    <row r="24" ht="15.75" customHeight="1">
      <c r="A24" s="37" t="s">
        <v>256</v>
      </c>
    </row>
    <row r="26">
      <c r="L26" s="104"/>
    </row>
  </sheetData>
  <mergeCells count="4">
    <mergeCell ref="B18:N18"/>
    <mergeCell ref="A22:M22"/>
    <mergeCell ref="A24:M24"/>
    <mergeCell ref="A20:F20"/>
  </mergeCells>
  <hyperlinks>
    <hyperlink r:id="rId1" location="year=2022&amp;election=4300" ref="B18"/>
    <hyperlink r:id="rId2" ref="A22"/>
    <hyperlink r:id="rId3" ref="A24"/>
  </hyperlinks>
  <drawing r:id="rId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71"/>
  </cols>
  <sheetData>
    <row r="2">
      <c r="B2" s="105" t="s">
        <v>257</v>
      </c>
      <c r="C2" s="106"/>
      <c r="D2" s="106"/>
      <c r="E2" s="106"/>
      <c r="F2" s="107"/>
    </row>
    <row r="3">
      <c r="B3" s="108"/>
      <c r="F3" s="109"/>
    </row>
    <row r="4">
      <c r="B4" s="108"/>
      <c r="F4" s="109"/>
    </row>
    <row r="5">
      <c r="B5" s="108"/>
      <c r="F5" s="109"/>
    </row>
    <row r="6">
      <c r="B6" s="108"/>
      <c r="F6" s="109"/>
    </row>
    <row r="7">
      <c r="B7" s="108"/>
      <c r="F7" s="109"/>
    </row>
    <row r="8">
      <c r="B8" s="108"/>
      <c r="F8" s="109"/>
    </row>
    <row r="9">
      <c r="B9" s="108"/>
      <c r="F9" s="109"/>
    </row>
    <row r="10">
      <c r="B10" s="108"/>
      <c r="F10" s="109"/>
    </row>
    <row r="11">
      <c r="B11" s="108"/>
      <c r="F11" s="109"/>
    </row>
    <row r="12">
      <c r="B12" s="108"/>
      <c r="F12" s="109"/>
    </row>
    <row r="13">
      <c r="B13" s="108"/>
      <c r="F13" s="109"/>
    </row>
    <row r="14">
      <c r="B14" s="108"/>
      <c r="F14" s="109"/>
    </row>
    <row r="15">
      <c r="B15" s="108"/>
      <c r="F15" s="109"/>
    </row>
    <row r="16">
      <c r="B16" s="108"/>
      <c r="F16" s="109"/>
    </row>
    <row r="17">
      <c r="B17" s="110"/>
      <c r="C17" s="111"/>
      <c r="D17" s="111"/>
      <c r="E17" s="111"/>
      <c r="F17" s="112"/>
    </row>
  </sheetData>
  <mergeCells count="3">
    <mergeCell ref="B2:F17"/>
    <mergeCell ref="A1:F1"/>
    <mergeCell ref="A2:A17"/>
  </mergeCells>
  <hyperlinks>
    <hyperlink r:id="rId1" ref="B2"/>
  </hyperlinks>
  <drawing r:id="rId2"/>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2022-11-14T17:04:27Z</dcterms:created>
  <dc:creator>samantha.abelove@calvoter.org</dc:creator>
</cp:coreProperties>
</file>